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igna\Downloads\"/>
    </mc:Choice>
  </mc:AlternateContent>
  <xr:revisionPtr revIDLastSave="0" documentId="13_ncr:1_{3548FBFD-CEB6-4CAC-821D-F30B6233F8E8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Raw Data" sheetId="1" r:id="rId1"/>
    <sheet name="Model 1 - Global Average" sheetId="2" r:id="rId2"/>
    <sheet name="Model 2 - Day of Week Avg" sheetId="3" r:id="rId3"/>
    <sheet name="Model 3 - Linear Regression" sheetId="4" r:id="rId4"/>
    <sheet name="Analysis &amp; Summary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87" i="2" l="1"/>
  <c r="H86" i="2"/>
  <c r="H85" i="2"/>
  <c r="K87" i="4"/>
  <c r="M84" i="3"/>
  <c r="I82" i="2"/>
  <c r="C17" i="5"/>
  <c r="C16" i="5"/>
  <c r="C15" i="5"/>
  <c r="C14" i="5"/>
  <c r="C13" i="5"/>
  <c r="C12" i="5"/>
  <c r="C11" i="5"/>
  <c r="C10" i="5"/>
  <c r="C9" i="5"/>
  <c r="C8" i="5"/>
  <c r="H7" i="5"/>
  <c r="G7" i="5"/>
  <c r="F7" i="5"/>
  <c r="E7" i="5"/>
  <c r="D7" i="5"/>
  <c r="C7" i="5"/>
  <c r="H6" i="5"/>
  <c r="G6" i="5"/>
  <c r="F6" i="5"/>
  <c r="E6" i="5"/>
  <c r="D6" i="5"/>
  <c r="C6" i="5"/>
  <c r="F101" i="4"/>
  <c r="E101" i="4"/>
  <c r="D101" i="4"/>
  <c r="C101" i="4"/>
  <c r="B101" i="4"/>
  <c r="A101" i="4"/>
  <c r="F100" i="4"/>
  <c r="E100" i="4"/>
  <c r="D100" i="4"/>
  <c r="C100" i="4"/>
  <c r="B100" i="4"/>
  <c r="A100" i="4"/>
  <c r="F99" i="4"/>
  <c r="E99" i="4"/>
  <c r="D99" i="4"/>
  <c r="C99" i="4"/>
  <c r="B99" i="4"/>
  <c r="A99" i="4"/>
  <c r="F98" i="4"/>
  <c r="E98" i="4"/>
  <c r="D98" i="4"/>
  <c r="C98" i="4"/>
  <c r="B98" i="4"/>
  <c r="A98" i="4"/>
  <c r="F97" i="4"/>
  <c r="E97" i="4"/>
  <c r="D97" i="4"/>
  <c r="C97" i="4"/>
  <c r="B97" i="4"/>
  <c r="A97" i="4"/>
  <c r="F96" i="4"/>
  <c r="E96" i="4"/>
  <c r="D96" i="4"/>
  <c r="C96" i="4"/>
  <c r="B96" i="4"/>
  <c r="A96" i="4"/>
  <c r="F95" i="4"/>
  <c r="E95" i="4"/>
  <c r="D95" i="4"/>
  <c r="C95" i="4"/>
  <c r="B95" i="4"/>
  <c r="A95" i="4"/>
  <c r="F94" i="4"/>
  <c r="E94" i="4"/>
  <c r="D94" i="4"/>
  <c r="C94" i="4"/>
  <c r="B94" i="4"/>
  <c r="A94" i="4"/>
  <c r="F93" i="4"/>
  <c r="E93" i="4"/>
  <c r="D93" i="4"/>
  <c r="C93" i="4"/>
  <c r="B93" i="4"/>
  <c r="A93" i="4"/>
  <c r="F92" i="4"/>
  <c r="E92" i="4"/>
  <c r="D92" i="4"/>
  <c r="C92" i="4"/>
  <c r="B92" i="4"/>
  <c r="A92" i="4"/>
  <c r="F91" i="4"/>
  <c r="E91" i="4"/>
  <c r="D91" i="4"/>
  <c r="C91" i="4"/>
  <c r="B91" i="4"/>
  <c r="A91" i="4"/>
  <c r="F90" i="4"/>
  <c r="E90" i="4"/>
  <c r="D90" i="4"/>
  <c r="C90" i="4"/>
  <c r="B90" i="4"/>
  <c r="A90" i="4"/>
  <c r="G85" i="4"/>
  <c r="F85" i="4"/>
  <c r="E85" i="4"/>
  <c r="D85" i="4"/>
  <c r="C85" i="4"/>
  <c r="B85" i="4"/>
  <c r="A85" i="4"/>
  <c r="G84" i="4"/>
  <c r="F84" i="4"/>
  <c r="E84" i="4"/>
  <c r="D84" i="4"/>
  <c r="C84" i="4"/>
  <c r="B84" i="4"/>
  <c r="A84" i="4"/>
  <c r="G83" i="4"/>
  <c r="F83" i="4"/>
  <c r="E83" i="4"/>
  <c r="D83" i="4"/>
  <c r="C83" i="4"/>
  <c r="B83" i="4"/>
  <c r="A83" i="4"/>
  <c r="G82" i="4"/>
  <c r="F82" i="4"/>
  <c r="E82" i="4"/>
  <c r="D82" i="4"/>
  <c r="C82" i="4"/>
  <c r="B82" i="4"/>
  <c r="A82" i="4"/>
  <c r="G81" i="4"/>
  <c r="F81" i="4"/>
  <c r="E81" i="4"/>
  <c r="D81" i="4"/>
  <c r="C81" i="4"/>
  <c r="B81" i="4"/>
  <c r="A81" i="4"/>
  <c r="G80" i="4"/>
  <c r="F80" i="4"/>
  <c r="E80" i="4"/>
  <c r="D80" i="4"/>
  <c r="C80" i="4"/>
  <c r="B80" i="4"/>
  <c r="A80" i="4"/>
  <c r="G79" i="4"/>
  <c r="F79" i="4"/>
  <c r="E79" i="4"/>
  <c r="D79" i="4"/>
  <c r="C79" i="4"/>
  <c r="B79" i="4"/>
  <c r="A79" i="4"/>
  <c r="G78" i="4"/>
  <c r="F78" i="4"/>
  <c r="E78" i="4"/>
  <c r="D78" i="4"/>
  <c r="C78" i="4"/>
  <c r="B78" i="4"/>
  <c r="A78" i="4"/>
  <c r="G77" i="4"/>
  <c r="F77" i="4"/>
  <c r="E77" i="4"/>
  <c r="D77" i="4"/>
  <c r="C77" i="4"/>
  <c r="B77" i="4"/>
  <c r="A77" i="4"/>
  <c r="G76" i="4"/>
  <c r="F76" i="4"/>
  <c r="E76" i="4"/>
  <c r="D76" i="4"/>
  <c r="C76" i="4"/>
  <c r="B76" i="4"/>
  <c r="A76" i="4"/>
  <c r="G75" i="4"/>
  <c r="F75" i="4"/>
  <c r="E75" i="4"/>
  <c r="D75" i="4"/>
  <c r="C75" i="4"/>
  <c r="B75" i="4"/>
  <c r="A75" i="4"/>
  <c r="G74" i="4"/>
  <c r="F74" i="4"/>
  <c r="E74" i="4"/>
  <c r="D74" i="4"/>
  <c r="C74" i="4"/>
  <c r="B74" i="4"/>
  <c r="A74" i="4"/>
  <c r="G73" i="4"/>
  <c r="F73" i="4"/>
  <c r="E73" i="4"/>
  <c r="D73" i="4"/>
  <c r="C73" i="4"/>
  <c r="B73" i="4"/>
  <c r="A73" i="4"/>
  <c r="G72" i="4"/>
  <c r="F72" i="4"/>
  <c r="E72" i="4"/>
  <c r="D72" i="4"/>
  <c r="C72" i="4"/>
  <c r="B72" i="4"/>
  <c r="A72" i="4"/>
  <c r="G71" i="4"/>
  <c r="F71" i="4"/>
  <c r="E71" i="4"/>
  <c r="D71" i="4"/>
  <c r="C71" i="4"/>
  <c r="B71" i="4"/>
  <c r="A71" i="4"/>
  <c r="G69" i="4"/>
  <c r="F69" i="4"/>
  <c r="E69" i="4"/>
  <c r="D69" i="4"/>
  <c r="C69" i="4"/>
  <c r="B69" i="4"/>
  <c r="A69" i="4"/>
  <c r="G68" i="4"/>
  <c r="F68" i="4"/>
  <c r="E68" i="4"/>
  <c r="D68" i="4"/>
  <c r="C68" i="4"/>
  <c r="B68" i="4"/>
  <c r="A68" i="4"/>
  <c r="G67" i="4"/>
  <c r="F67" i="4"/>
  <c r="E67" i="4"/>
  <c r="D67" i="4"/>
  <c r="C67" i="4"/>
  <c r="B67" i="4"/>
  <c r="A67" i="4"/>
  <c r="G66" i="4"/>
  <c r="F66" i="4"/>
  <c r="E66" i="4"/>
  <c r="D66" i="4"/>
  <c r="C66" i="4"/>
  <c r="B66" i="4"/>
  <c r="A66" i="4"/>
  <c r="G65" i="4"/>
  <c r="F65" i="4"/>
  <c r="E65" i="4"/>
  <c r="D65" i="4"/>
  <c r="C65" i="4"/>
  <c r="B65" i="4"/>
  <c r="A65" i="4"/>
  <c r="G64" i="4"/>
  <c r="F64" i="4"/>
  <c r="E64" i="4"/>
  <c r="D64" i="4"/>
  <c r="C64" i="4"/>
  <c r="B64" i="4"/>
  <c r="A64" i="4"/>
  <c r="G63" i="4"/>
  <c r="F63" i="4"/>
  <c r="E63" i="4"/>
  <c r="D63" i="4"/>
  <c r="C63" i="4"/>
  <c r="B63" i="4"/>
  <c r="A63" i="4"/>
  <c r="G62" i="4"/>
  <c r="F62" i="4"/>
  <c r="E62" i="4"/>
  <c r="D62" i="4"/>
  <c r="C62" i="4"/>
  <c r="B62" i="4"/>
  <c r="A62" i="4"/>
  <c r="G61" i="4"/>
  <c r="F61" i="4"/>
  <c r="E61" i="4"/>
  <c r="D61" i="4"/>
  <c r="C61" i="4"/>
  <c r="B61" i="4"/>
  <c r="A61" i="4"/>
  <c r="G60" i="4"/>
  <c r="F60" i="4"/>
  <c r="E60" i="4"/>
  <c r="D60" i="4"/>
  <c r="C60" i="4"/>
  <c r="B60" i="4"/>
  <c r="A60" i="4"/>
  <c r="G59" i="4"/>
  <c r="F59" i="4"/>
  <c r="E59" i="4"/>
  <c r="D59" i="4"/>
  <c r="C59" i="4"/>
  <c r="B59" i="4"/>
  <c r="A59" i="4"/>
  <c r="G58" i="4"/>
  <c r="F58" i="4"/>
  <c r="E58" i="4"/>
  <c r="D58" i="4"/>
  <c r="C58" i="4"/>
  <c r="B58" i="4"/>
  <c r="A58" i="4"/>
  <c r="G57" i="4"/>
  <c r="F57" i="4"/>
  <c r="E57" i="4"/>
  <c r="D57" i="4"/>
  <c r="C57" i="4"/>
  <c r="B57" i="4"/>
  <c r="A57" i="4"/>
  <c r="G56" i="4"/>
  <c r="F56" i="4"/>
  <c r="E56" i="4"/>
  <c r="D56" i="4"/>
  <c r="C56" i="4"/>
  <c r="B56" i="4"/>
  <c r="A56" i="4"/>
  <c r="G55" i="4"/>
  <c r="F55" i="4"/>
  <c r="E55" i="4"/>
  <c r="D55" i="4"/>
  <c r="C55" i="4"/>
  <c r="B55" i="4"/>
  <c r="A55" i="4"/>
  <c r="G54" i="4"/>
  <c r="F54" i="4"/>
  <c r="E54" i="4"/>
  <c r="D54" i="4"/>
  <c r="C54" i="4"/>
  <c r="B54" i="4"/>
  <c r="A54" i="4"/>
  <c r="G53" i="4"/>
  <c r="F53" i="4"/>
  <c r="E53" i="4"/>
  <c r="D53" i="4"/>
  <c r="C53" i="4"/>
  <c r="B53" i="4"/>
  <c r="A53" i="4"/>
  <c r="G52" i="4"/>
  <c r="F52" i="4"/>
  <c r="E52" i="4"/>
  <c r="D52" i="4"/>
  <c r="C52" i="4"/>
  <c r="B52" i="4"/>
  <c r="A52" i="4"/>
  <c r="G51" i="4"/>
  <c r="F51" i="4"/>
  <c r="E51" i="4"/>
  <c r="D51" i="4"/>
  <c r="C51" i="4"/>
  <c r="B51" i="4"/>
  <c r="A51" i="4"/>
  <c r="G50" i="4"/>
  <c r="F50" i="4"/>
  <c r="E50" i="4"/>
  <c r="D50" i="4"/>
  <c r="C50" i="4"/>
  <c r="B50" i="4"/>
  <c r="A50" i="4"/>
  <c r="G49" i="4"/>
  <c r="F49" i="4"/>
  <c r="E49" i="4"/>
  <c r="D49" i="4"/>
  <c r="C49" i="4"/>
  <c r="B49" i="4"/>
  <c r="A49" i="4"/>
  <c r="G48" i="4"/>
  <c r="F48" i="4"/>
  <c r="E48" i="4"/>
  <c r="D48" i="4"/>
  <c r="C48" i="4"/>
  <c r="B48" i="4"/>
  <c r="A48" i="4"/>
  <c r="G47" i="4"/>
  <c r="F47" i="4"/>
  <c r="E47" i="4"/>
  <c r="D47" i="4"/>
  <c r="C47" i="4"/>
  <c r="B47" i="4"/>
  <c r="A47" i="4"/>
  <c r="G46" i="4"/>
  <c r="F46" i="4"/>
  <c r="E46" i="4"/>
  <c r="D46" i="4"/>
  <c r="C46" i="4"/>
  <c r="B46" i="4"/>
  <c r="A46" i="4"/>
  <c r="G45" i="4"/>
  <c r="F45" i="4"/>
  <c r="E45" i="4"/>
  <c r="D45" i="4"/>
  <c r="C45" i="4"/>
  <c r="B45" i="4"/>
  <c r="A45" i="4"/>
  <c r="G44" i="4"/>
  <c r="F44" i="4"/>
  <c r="E44" i="4"/>
  <c r="D44" i="4"/>
  <c r="C44" i="4"/>
  <c r="B44" i="4"/>
  <c r="A44" i="4"/>
  <c r="G43" i="4"/>
  <c r="F43" i="4"/>
  <c r="E43" i="4"/>
  <c r="D43" i="4"/>
  <c r="C43" i="4"/>
  <c r="B43" i="4"/>
  <c r="A43" i="4"/>
  <c r="G42" i="4"/>
  <c r="F42" i="4"/>
  <c r="E42" i="4"/>
  <c r="D42" i="4"/>
  <c r="C42" i="4"/>
  <c r="B42" i="4"/>
  <c r="A42" i="4"/>
  <c r="G41" i="4"/>
  <c r="F41" i="4"/>
  <c r="E41" i="4"/>
  <c r="D41" i="4"/>
  <c r="C41" i="4"/>
  <c r="B41" i="4"/>
  <c r="A41" i="4"/>
  <c r="G40" i="4"/>
  <c r="F40" i="4"/>
  <c r="E40" i="4"/>
  <c r="D40" i="4"/>
  <c r="C40" i="4"/>
  <c r="B40" i="4"/>
  <c r="A40" i="4"/>
  <c r="G39" i="4"/>
  <c r="F39" i="4"/>
  <c r="E39" i="4"/>
  <c r="D39" i="4"/>
  <c r="C39" i="4"/>
  <c r="B39" i="4"/>
  <c r="A39" i="4"/>
  <c r="G38" i="4"/>
  <c r="F38" i="4"/>
  <c r="E38" i="4"/>
  <c r="D38" i="4"/>
  <c r="C38" i="4"/>
  <c r="B38" i="4"/>
  <c r="A38" i="4"/>
  <c r="G37" i="4"/>
  <c r="F37" i="4"/>
  <c r="E37" i="4"/>
  <c r="D37" i="4"/>
  <c r="C37" i="4"/>
  <c r="B37" i="4"/>
  <c r="A37" i="4"/>
  <c r="G36" i="4"/>
  <c r="F36" i="4"/>
  <c r="E36" i="4"/>
  <c r="D36" i="4"/>
  <c r="C36" i="4"/>
  <c r="B36" i="4"/>
  <c r="A36" i="4"/>
  <c r="G35" i="4"/>
  <c r="F35" i="4"/>
  <c r="E35" i="4"/>
  <c r="D35" i="4"/>
  <c r="C35" i="4"/>
  <c r="B35" i="4"/>
  <c r="A35" i="4"/>
  <c r="G34" i="4"/>
  <c r="F34" i="4"/>
  <c r="E34" i="4"/>
  <c r="D34" i="4"/>
  <c r="C34" i="4"/>
  <c r="B34" i="4"/>
  <c r="A34" i="4"/>
  <c r="G33" i="4"/>
  <c r="F33" i="4"/>
  <c r="E33" i="4"/>
  <c r="D33" i="4"/>
  <c r="C33" i="4"/>
  <c r="B33" i="4"/>
  <c r="A33" i="4"/>
  <c r="G32" i="4"/>
  <c r="F32" i="4"/>
  <c r="E32" i="4"/>
  <c r="D32" i="4"/>
  <c r="C32" i="4"/>
  <c r="B32" i="4"/>
  <c r="A32" i="4"/>
  <c r="G31" i="4"/>
  <c r="F31" i="4"/>
  <c r="E31" i="4"/>
  <c r="D31" i="4"/>
  <c r="C31" i="4"/>
  <c r="B31" i="4"/>
  <c r="A31" i="4"/>
  <c r="G30" i="4"/>
  <c r="F30" i="4"/>
  <c r="E30" i="4"/>
  <c r="D30" i="4"/>
  <c r="C30" i="4"/>
  <c r="B30" i="4"/>
  <c r="A30" i="4"/>
  <c r="G29" i="4"/>
  <c r="F29" i="4"/>
  <c r="E29" i="4"/>
  <c r="D29" i="4"/>
  <c r="C29" i="4"/>
  <c r="B29" i="4"/>
  <c r="A29" i="4"/>
  <c r="G28" i="4"/>
  <c r="F28" i="4"/>
  <c r="E28" i="4"/>
  <c r="D28" i="4"/>
  <c r="C28" i="4"/>
  <c r="B28" i="4"/>
  <c r="A28" i="4"/>
  <c r="G27" i="4"/>
  <c r="F27" i="4"/>
  <c r="E27" i="4"/>
  <c r="D27" i="4"/>
  <c r="C27" i="4"/>
  <c r="B27" i="4"/>
  <c r="A27" i="4"/>
  <c r="G26" i="4"/>
  <c r="F26" i="4"/>
  <c r="E26" i="4"/>
  <c r="D26" i="4"/>
  <c r="C26" i="4"/>
  <c r="B26" i="4"/>
  <c r="A26" i="4"/>
  <c r="G25" i="4"/>
  <c r="F25" i="4"/>
  <c r="E25" i="4"/>
  <c r="D25" i="4"/>
  <c r="C25" i="4"/>
  <c r="B25" i="4"/>
  <c r="A25" i="4"/>
  <c r="G24" i="4"/>
  <c r="F24" i="4"/>
  <c r="E24" i="4"/>
  <c r="D24" i="4"/>
  <c r="C24" i="4"/>
  <c r="B24" i="4"/>
  <c r="A24" i="4"/>
  <c r="G23" i="4"/>
  <c r="F23" i="4"/>
  <c r="E23" i="4"/>
  <c r="D23" i="4"/>
  <c r="C23" i="4"/>
  <c r="B23" i="4"/>
  <c r="A23" i="4"/>
  <c r="G22" i="4"/>
  <c r="F22" i="4"/>
  <c r="E22" i="4"/>
  <c r="D22" i="4"/>
  <c r="C22" i="4"/>
  <c r="B22" i="4"/>
  <c r="A22" i="4"/>
  <c r="G21" i="4"/>
  <c r="F21" i="4"/>
  <c r="E21" i="4"/>
  <c r="D21" i="4"/>
  <c r="C21" i="4"/>
  <c r="B21" i="4"/>
  <c r="A21" i="4"/>
  <c r="G20" i="4"/>
  <c r="F20" i="4"/>
  <c r="E20" i="4"/>
  <c r="D20" i="4"/>
  <c r="C20" i="4"/>
  <c r="B20" i="4"/>
  <c r="A20" i="4"/>
  <c r="G19" i="4"/>
  <c r="F19" i="4"/>
  <c r="E19" i="4"/>
  <c r="D19" i="4"/>
  <c r="C19" i="4"/>
  <c r="B19" i="4"/>
  <c r="A19" i="4"/>
  <c r="G18" i="4"/>
  <c r="F18" i="4"/>
  <c r="E18" i="4"/>
  <c r="D18" i="4"/>
  <c r="C18" i="4"/>
  <c r="B18" i="4"/>
  <c r="A18" i="4"/>
  <c r="G17" i="4"/>
  <c r="F17" i="4"/>
  <c r="E17" i="4"/>
  <c r="D17" i="4"/>
  <c r="C17" i="4"/>
  <c r="B17" i="4"/>
  <c r="A17" i="4"/>
  <c r="G16" i="4"/>
  <c r="F16" i="4"/>
  <c r="E16" i="4"/>
  <c r="D16" i="4"/>
  <c r="C16" i="4"/>
  <c r="B16" i="4"/>
  <c r="A16" i="4"/>
  <c r="G15" i="4"/>
  <c r="F15" i="4"/>
  <c r="E15" i="4"/>
  <c r="D15" i="4"/>
  <c r="C15" i="4"/>
  <c r="B15" i="4"/>
  <c r="A15" i="4"/>
  <c r="G14" i="4"/>
  <c r="F14" i="4"/>
  <c r="E14" i="4"/>
  <c r="D14" i="4"/>
  <c r="C14" i="4"/>
  <c r="B14" i="4"/>
  <c r="A14" i="4"/>
  <c r="G13" i="4"/>
  <c r="F13" i="4"/>
  <c r="E13" i="4"/>
  <c r="D13" i="4"/>
  <c r="C13" i="4"/>
  <c r="B13" i="4"/>
  <c r="A13" i="4"/>
  <c r="G12" i="4"/>
  <c r="F12" i="4"/>
  <c r="E12" i="4"/>
  <c r="D12" i="4"/>
  <c r="C12" i="4"/>
  <c r="B12" i="4"/>
  <c r="A12" i="4"/>
  <c r="G11" i="4"/>
  <c r="F11" i="4"/>
  <c r="E11" i="4"/>
  <c r="D11" i="4"/>
  <c r="C11" i="4"/>
  <c r="B11" i="4"/>
  <c r="A11" i="4"/>
  <c r="C8" i="4"/>
  <c r="C7" i="4"/>
  <c r="C6" i="4"/>
  <c r="C5" i="4"/>
  <c r="F98" i="3"/>
  <c r="E98" i="3"/>
  <c r="D98" i="3"/>
  <c r="C98" i="3"/>
  <c r="B98" i="3"/>
  <c r="A98" i="3"/>
  <c r="H97" i="3"/>
  <c r="F97" i="3"/>
  <c r="E97" i="3"/>
  <c r="D97" i="3"/>
  <c r="C97" i="3"/>
  <c r="B97" i="3"/>
  <c r="A97" i="3"/>
  <c r="F96" i="3"/>
  <c r="E96" i="3"/>
  <c r="D96" i="3"/>
  <c r="C96" i="3"/>
  <c r="B96" i="3"/>
  <c r="A96" i="3"/>
  <c r="F95" i="3"/>
  <c r="E95" i="3"/>
  <c r="D95" i="3"/>
  <c r="C95" i="3"/>
  <c r="B95" i="3"/>
  <c r="A95" i="3"/>
  <c r="F94" i="3"/>
  <c r="E94" i="3"/>
  <c r="D94" i="3"/>
  <c r="C94" i="3"/>
  <c r="B94" i="3"/>
  <c r="H94" i="3" s="1"/>
  <c r="A94" i="3"/>
  <c r="F93" i="3"/>
  <c r="E93" i="3"/>
  <c r="D93" i="3"/>
  <c r="C93" i="3"/>
  <c r="B93" i="3"/>
  <c r="A93" i="3"/>
  <c r="H92" i="3"/>
  <c r="F92" i="3"/>
  <c r="E92" i="3"/>
  <c r="D92" i="3"/>
  <c r="C92" i="3"/>
  <c r="B92" i="3"/>
  <c r="A92" i="3"/>
  <c r="H91" i="3"/>
  <c r="F91" i="3"/>
  <c r="E91" i="3"/>
  <c r="D91" i="3"/>
  <c r="C91" i="3"/>
  <c r="B91" i="3"/>
  <c r="A91" i="3"/>
  <c r="F90" i="3"/>
  <c r="E90" i="3"/>
  <c r="D90" i="3"/>
  <c r="C90" i="3"/>
  <c r="B90" i="3"/>
  <c r="A90" i="3"/>
  <c r="F89" i="3"/>
  <c r="E89" i="3"/>
  <c r="D89" i="3"/>
  <c r="C89" i="3"/>
  <c r="B89" i="3"/>
  <c r="A89" i="3"/>
  <c r="F88" i="3"/>
  <c r="E88" i="3"/>
  <c r="D88" i="3"/>
  <c r="C88" i="3"/>
  <c r="B88" i="3"/>
  <c r="A88" i="3"/>
  <c r="F87" i="3"/>
  <c r="E87" i="3"/>
  <c r="D87" i="3"/>
  <c r="C87" i="3"/>
  <c r="B87" i="3"/>
  <c r="H87" i="3" s="1"/>
  <c r="A87" i="3"/>
  <c r="G82" i="3"/>
  <c r="F82" i="3"/>
  <c r="E82" i="3"/>
  <c r="D82" i="3"/>
  <c r="C82" i="3"/>
  <c r="B82" i="3"/>
  <c r="A82" i="3"/>
  <c r="H81" i="3"/>
  <c r="G81" i="3"/>
  <c r="F81" i="3"/>
  <c r="E81" i="3"/>
  <c r="D81" i="3"/>
  <c r="C81" i="3"/>
  <c r="B81" i="3"/>
  <c r="A81" i="3"/>
  <c r="G80" i="3"/>
  <c r="F80" i="3"/>
  <c r="E80" i="3"/>
  <c r="D80" i="3"/>
  <c r="C80" i="3"/>
  <c r="B80" i="3"/>
  <c r="H80" i="3" s="1"/>
  <c r="A80" i="3"/>
  <c r="G79" i="3"/>
  <c r="F79" i="3"/>
  <c r="E79" i="3"/>
  <c r="D79" i="3"/>
  <c r="C79" i="3"/>
  <c r="B79" i="3"/>
  <c r="A79" i="3"/>
  <c r="G78" i="3"/>
  <c r="F78" i="3"/>
  <c r="E78" i="3"/>
  <c r="D78" i="3"/>
  <c r="C78" i="3"/>
  <c r="B78" i="3"/>
  <c r="A78" i="3"/>
  <c r="G77" i="3"/>
  <c r="F77" i="3"/>
  <c r="E77" i="3"/>
  <c r="D77" i="3"/>
  <c r="C77" i="3"/>
  <c r="B77" i="3"/>
  <c r="A77" i="3"/>
  <c r="G76" i="3"/>
  <c r="F76" i="3"/>
  <c r="E76" i="3"/>
  <c r="D76" i="3"/>
  <c r="C76" i="3"/>
  <c r="B76" i="3"/>
  <c r="H76" i="3" s="1"/>
  <c r="M76" i="3" s="1"/>
  <c r="A76" i="3"/>
  <c r="G75" i="3"/>
  <c r="F75" i="3"/>
  <c r="E75" i="3"/>
  <c r="D75" i="3"/>
  <c r="C75" i="3"/>
  <c r="B75" i="3"/>
  <c r="A75" i="3"/>
  <c r="G74" i="3"/>
  <c r="F74" i="3"/>
  <c r="E74" i="3"/>
  <c r="D74" i="3"/>
  <c r="C74" i="3"/>
  <c r="B74" i="3"/>
  <c r="A74" i="3"/>
  <c r="G73" i="3"/>
  <c r="F73" i="3"/>
  <c r="E73" i="3"/>
  <c r="D73" i="3"/>
  <c r="C73" i="3"/>
  <c r="B73" i="3"/>
  <c r="A73" i="3"/>
  <c r="G72" i="3"/>
  <c r="F72" i="3"/>
  <c r="E72" i="3"/>
  <c r="D72" i="3"/>
  <c r="C72" i="3"/>
  <c r="B72" i="3"/>
  <c r="A72" i="3"/>
  <c r="G71" i="3"/>
  <c r="F71" i="3"/>
  <c r="E71" i="3"/>
  <c r="D71" i="3"/>
  <c r="C71" i="3"/>
  <c r="B71" i="3"/>
  <c r="A71" i="3"/>
  <c r="G70" i="3"/>
  <c r="F70" i="3"/>
  <c r="E70" i="3"/>
  <c r="D70" i="3"/>
  <c r="C70" i="3"/>
  <c r="B70" i="3"/>
  <c r="A70" i="3"/>
  <c r="G69" i="3"/>
  <c r="F69" i="3"/>
  <c r="E69" i="3"/>
  <c r="D69" i="3"/>
  <c r="C69" i="3"/>
  <c r="B69" i="3"/>
  <c r="A69" i="3"/>
  <c r="G68" i="3"/>
  <c r="F68" i="3"/>
  <c r="E68" i="3"/>
  <c r="D68" i="3"/>
  <c r="C68" i="3"/>
  <c r="B68" i="3"/>
  <c r="A68" i="3"/>
  <c r="G66" i="3"/>
  <c r="F66" i="3"/>
  <c r="E66" i="3"/>
  <c r="D66" i="3"/>
  <c r="C66" i="3"/>
  <c r="B66" i="3"/>
  <c r="H66" i="3" s="1"/>
  <c r="A66" i="3"/>
  <c r="G65" i="3"/>
  <c r="F65" i="3"/>
  <c r="E65" i="3"/>
  <c r="D65" i="3"/>
  <c r="C65" i="3"/>
  <c r="B65" i="3"/>
  <c r="H65" i="3" s="1"/>
  <c r="M65" i="3" s="1"/>
  <c r="A65" i="3"/>
  <c r="G64" i="3"/>
  <c r="F64" i="3"/>
  <c r="E64" i="3"/>
  <c r="D64" i="3"/>
  <c r="C64" i="3"/>
  <c r="B64" i="3"/>
  <c r="A64" i="3"/>
  <c r="G63" i="3"/>
  <c r="F63" i="3"/>
  <c r="E63" i="3"/>
  <c r="D63" i="3"/>
  <c r="C63" i="3"/>
  <c r="B63" i="3"/>
  <c r="A63" i="3"/>
  <c r="G62" i="3"/>
  <c r="F62" i="3"/>
  <c r="E62" i="3"/>
  <c r="D62" i="3"/>
  <c r="C62" i="3"/>
  <c r="B62" i="3"/>
  <c r="A62" i="3"/>
  <c r="G61" i="3"/>
  <c r="F61" i="3"/>
  <c r="E61" i="3"/>
  <c r="D61" i="3"/>
  <c r="C61" i="3"/>
  <c r="B61" i="3"/>
  <c r="A61" i="3"/>
  <c r="G60" i="3"/>
  <c r="F60" i="3"/>
  <c r="E60" i="3"/>
  <c r="D60" i="3"/>
  <c r="C60" i="3"/>
  <c r="B60" i="3"/>
  <c r="A60" i="3"/>
  <c r="H59" i="3"/>
  <c r="M59" i="3" s="1"/>
  <c r="G59" i="3"/>
  <c r="F59" i="3"/>
  <c r="E59" i="3"/>
  <c r="D59" i="3"/>
  <c r="C59" i="3"/>
  <c r="B59" i="3"/>
  <c r="A59" i="3"/>
  <c r="G58" i="3"/>
  <c r="F58" i="3"/>
  <c r="E58" i="3"/>
  <c r="D58" i="3"/>
  <c r="C58" i="3"/>
  <c r="B58" i="3"/>
  <c r="H58" i="3" s="1"/>
  <c r="A58" i="3"/>
  <c r="G57" i="3"/>
  <c r="F57" i="3"/>
  <c r="E57" i="3"/>
  <c r="D57" i="3"/>
  <c r="C57" i="3"/>
  <c r="B57" i="3"/>
  <c r="A57" i="3"/>
  <c r="H56" i="3"/>
  <c r="L56" i="3" s="1"/>
  <c r="G56" i="3"/>
  <c r="F56" i="3"/>
  <c r="E56" i="3"/>
  <c r="D56" i="3"/>
  <c r="C56" i="3"/>
  <c r="B56" i="3"/>
  <c r="A56" i="3"/>
  <c r="G55" i="3"/>
  <c r="F55" i="3"/>
  <c r="E55" i="3"/>
  <c r="D55" i="3"/>
  <c r="C55" i="3"/>
  <c r="B55" i="3"/>
  <c r="A55" i="3"/>
  <c r="L54" i="3"/>
  <c r="G54" i="3"/>
  <c r="F54" i="3"/>
  <c r="E54" i="3"/>
  <c r="D54" i="3"/>
  <c r="C54" i="3"/>
  <c r="B54" i="3"/>
  <c r="H54" i="3" s="1"/>
  <c r="M54" i="3" s="1"/>
  <c r="A54" i="3"/>
  <c r="G53" i="3"/>
  <c r="F53" i="3"/>
  <c r="E53" i="3"/>
  <c r="D53" i="3"/>
  <c r="C53" i="3"/>
  <c r="B53" i="3"/>
  <c r="A53" i="3"/>
  <c r="H52" i="3"/>
  <c r="G52" i="3"/>
  <c r="F52" i="3"/>
  <c r="E52" i="3"/>
  <c r="D52" i="3"/>
  <c r="C52" i="3"/>
  <c r="B52" i="3"/>
  <c r="A52" i="3"/>
  <c r="H51" i="3"/>
  <c r="G51" i="3"/>
  <c r="L51" i="3" s="1"/>
  <c r="F51" i="3"/>
  <c r="E51" i="3"/>
  <c r="D51" i="3"/>
  <c r="C51" i="3"/>
  <c r="B51" i="3"/>
  <c r="A51" i="3"/>
  <c r="G50" i="3"/>
  <c r="F50" i="3"/>
  <c r="E50" i="3"/>
  <c r="D50" i="3"/>
  <c r="C50" i="3"/>
  <c r="B50" i="3"/>
  <c r="A50" i="3"/>
  <c r="G49" i="3"/>
  <c r="F49" i="3"/>
  <c r="E49" i="3"/>
  <c r="D49" i="3"/>
  <c r="C49" i="3"/>
  <c r="B49" i="3"/>
  <c r="H49" i="3" s="1"/>
  <c r="A49" i="3"/>
  <c r="G48" i="3"/>
  <c r="F48" i="3"/>
  <c r="E48" i="3"/>
  <c r="D48" i="3"/>
  <c r="C48" i="3"/>
  <c r="B48" i="3"/>
  <c r="A48" i="3"/>
  <c r="L47" i="3"/>
  <c r="G47" i="3"/>
  <c r="F47" i="3"/>
  <c r="E47" i="3"/>
  <c r="D47" i="3"/>
  <c r="C47" i="3"/>
  <c r="B47" i="3"/>
  <c r="H47" i="3" s="1"/>
  <c r="M47" i="3" s="1"/>
  <c r="A47" i="3"/>
  <c r="G46" i="3"/>
  <c r="F46" i="3"/>
  <c r="E46" i="3"/>
  <c r="D46" i="3"/>
  <c r="C46" i="3"/>
  <c r="B46" i="3"/>
  <c r="A46" i="3"/>
  <c r="G45" i="3"/>
  <c r="F45" i="3"/>
  <c r="E45" i="3"/>
  <c r="D45" i="3"/>
  <c r="C45" i="3"/>
  <c r="B45" i="3"/>
  <c r="A45" i="3"/>
  <c r="H44" i="3"/>
  <c r="L44" i="3" s="1"/>
  <c r="G44" i="3"/>
  <c r="F44" i="3"/>
  <c r="E44" i="3"/>
  <c r="D44" i="3"/>
  <c r="C44" i="3"/>
  <c r="B44" i="3"/>
  <c r="A44" i="3"/>
  <c r="L43" i="3"/>
  <c r="G43" i="3"/>
  <c r="F43" i="3"/>
  <c r="E43" i="3"/>
  <c r="D43" i="3"/>
  <c r="C43" i="3"/>
  <c r="B43" i="3"/>
  <c r="H43" i="3" s="1"/>
  <c r="M43" i="3" s="1"/>
  <c r="A43" i="3"/>
  <c r="H42" i="3"/>
  <c r="L42" i="3" s="1"/>
  <c r="G42" i="3"/>
  <c r="F42" i="3"/>
  <c r="E42" i="3"/>
  <c r="D42" i="3"/>
  <c r="C42" i="3"/>
  <c r="B42" i="3"/>
  <c r="A42" i="3"/>
  <c r="G41" i="3"/>
  <c r="F41" i="3"/>
  <c r="E41" i="3"/>
  <c r="D41" i="3"/>
  <c r="C41" i="3"/>
  <c r="B41" i="3"/>
  <c r="A41" i="3"/>
  <c r="G40" i="3"/>
  <c r="F40" i="3"/>
  <c r="E40" i="3"/>
  <c r="D40" i="3"/>
  <c r="C40" i="3"/>
  <c r="B40" i="3"/>
  <c r="A40" i="3"/>
  <c r="G39" i="3"/>
  <c r="F39" i="3"/>
  <c r="E39" i="3"/>
  <c r="D39" i="3"/>
  <c r="C39" i="3"/>
  <c r="B39" i="3"/>
  <c r="A39" i="3"/>
  <c r="H38" i="3"/>
  <c r="M38" i="3" s="1"/>
  <c r="G38" i="3"/>
  <c r="F38" i="3"/>
  <c r="E38" i="3"/>
  <c r="D38" i="3"/>
  <c r="C38" i="3"/>
  <c r="B38" i="3"/>
  <c r="A38" i="3"/>
  <c r="G37" i="3"/>
  <c r="F37" i="3"/>
  <c r="E37" i="3"/>
  <c r="D37" i="3"/>
  <c r="C37" i="3"/>
  <c r="B37" i="3"/>
  <c r="A37" i="3"/>
  <c r="G36" i="3"/>
  <c r="F36" i="3"/>
  <c r="E36" i="3"/>
  <c r="D36" i="3"/>
  <c r="C36" i="3"/>
  <c r="B36" i="3"/>
  <c r="A36" i="3"/>
  <c r="H35" i="3"/>
  <c r="L35" i="3" s="1"/>
  <c r="G35" i="3"/>
  <c r="F35" i="3"/>
  <c r="E35" i="3"/>
  <c r="D35" i="3"/>
  <c r="C35" i="3"/>
  <c r="B35" i="3"/>
  <c r="A35" i="3"/>
  <c r="G34" i="3"/>
  <c r="F34" i="3"/>
  <c r="E34" i="3"/>
  <c r="D34" i="3"/>
  <c r="C34" i="3"/>
  <c r="B34" i="3"/>
  <c r="H34" i="3" s="1"/>
  <c r="A34" i="3"/>
  <c r="G33" i="3"/>
  <c r="F33" i="3"/>
  <c r="E33" i="3"/>
  <c r="D33" i="3"/>
  <c r="C33" i="3"/>
  <c r="B33" i="3"/>
  <c r="H33" i="3" s="1"/>
  <c r="M33" i="3" s="1"/>
  <c r="A33" i="3"/>
  <c r="G32" i="3"/>
  <c r="F32" i="3"/>
  <c r="E32" i="3"/>
  <c r="D32" i="3"/>
  <c r="C32" i="3"/>
  <c r="B32" i="3"/>
  <c r="A32" i="3"/>
  <c r="L31" i="3"/>
  <c r="H31" i="3"/>
  <c r="M31" i="3" s="1"/>
  <c r="G31" i="3"/>
  <c r="F31" i="3"/>
  <c r="E31" i="3"/>
  <c r="D31" i="3"/>
  <c r="C31" i="3"/>
  <c r="B31" i="3"/>
  <c r="A31" i="3"/>
  <c r="H30" i="3"/>
  <c r="L30" i="3" s="1"/>
  <c r="G30" i="3"/>
  <c r="F30" i="3"/>
  <c r="E30" i="3"/>
  <c r="D30" i="3"/>
  <c r="C30" i="3"/>
  <c r="B30" i="3"/>
  <c r="A30" i="3"/>
  <c r="G29" i="3"/>
  <c r="F29" i="3"/>
  <c r="E29" i="3"/>
  <c r="D29" i="3"/>
  <c r="C29" i="3"/>
  <c r="B29" i="3"/>
  <c r="A29" i="3"/>
  <c r="G28" i="3"/>
  <c r="F28" i="3"/>
  <c r="E28" i="3"/>
  <c r="D28" i="3"/>
  <c r="C28" i="3"/>
  <c r="B28" i="3"/>
  <c r="A28" i="3"/>
  <c r="G27" i="3"/>
  <c r="F27" i="3"/>
  <c r="E27" i="3"/>
  <c r="D27" i="3"/>
  <c r="C27" i="3"/>
  <c r="B27" i="3"/>
  <c r="A27" i="3"/>
  <c r="H26" i="3"/>
  <c r="L26" i="3" s="1"/>
  <c r="G26" i="3"/>
  <c r="F26" i="3"/>
  <c r="E26" i="3"/>
  <c r="D26" i="3"/>
  <c r="C26" i="3"/>
  <c r="B26" i="3"/>
  <c r="A26" i="3"/>
  <c r="G25" i="3"/>
  <c r="F25" i="3"/>
  <c r="E25" i="3"/>
  <c r="D25" i="3"/>
  <c r="C25" i="3"/>
  <c r="B25" i="3"/>
  <c r="A25" i="3"/>
  <c r="H24" i="3"/>
  <c r="L24" i="3" s="1"/>
  <c r="G24" i="3"/>
  <c r="F24" i="3"/>
  <c r="E24" i="3"/>
  <c r="D24" i="3"/>
  <c r="C24" i="3"/>
  <c r="B24" i="3"/>
  <c r="A24" i="3"/>
  <c r="H23" i="3"/>
  <c r="M23" i="3" s="1"/>
  <c r="G23" i="3"/>
  <c r="F23" i="3"/>
  <c r="E23" i="3"/>
  <c r="D23" i="3"/>
  <c r="C23" i="3"/>
  <c r="B23" i="3"/>
  <c r="A23" i="3"/>
  <c r="M22" i="3"/>
  <c r="G22" i="3"/>
  <c r="F22" i="3"/>
  <c r="E22" i="3"/>
  <c r="D22" i="3"/>
  <c r="C22" i="3"/>
  <c r="B22" i="3"/>
  <c r="H22" i="3" s="1"/>
  <c r="L22" i="3" s="1"/>
  <c r="A22" i="3"/>
  <c r="G21" i="3"/>
  <c r="F21" i="3"/>
  <c r="E21" i="3"/>
  <c r="D21" i="3"/>
  <c r="C21" i="3"/>
  <c r="B21" i="3"/>
  <c r="H21" i="3" s="1"/>
  <c r="A21" i="3"/>
  <c r="H20" i="3"/>
  <c r="G20" i="3"/>
  <c r="F20" i="3"/>
  <c r="E20" i="3"/>
  <c r="D20" i="3"/>
  <c r="C20" i="3"/>
  <c r="B20" i="3"/>
  <c r="A20" i="3"/>
  <c r="G19" i="3"/>
  <c r="F19" i="3"/>
  <c r="E19" i="3"/>
  <c r="D19" i="3"/>
  <c r="C19" i="3"/>
  <c r="B19" i="3"/>
  <c r="H19" i="3" s="1"/>
  <c r="M19" i="3" s="1"/>
  <c r="A19" i="3"/>
  <c r="G18" i="3"/>
  <c r="F18" i="3"/>
  <c r="E18" i="3"/>
  <c r="D18" i="3"/>
  <c r="C18" i="3"/>
  <c r="B18" i="3"/>
  <c r="H18" i="3" s="1"/>
  <c r="M18" i="3" s="1"/>
  <c r="A18" i="3"/>
  <c r="G17" i="3"/>
  <c r="F17" i="3"/>
  <c r="E17" i="3"/>
  <c r="D17" i="3"/>
  <c r="C17" i="3"/>
  <c r="B17" i="3"/>
  <c r="H17" i="3" s="1"/>
  <c r="A17" i="3"/>
  <c r="H16" i="3"/>
  <c r="G16" i="3"/>
  <c r="F16" i="3"/>
  <c r="E16" i="3"/>
  <c r="D16" i="3"/>
  <c r="C16" i="3"/>
  <c r="B16" i="3"/>
  <c r="A16" i="3"/>
  <c r="G15" i="3"/>
  <c r="M15" i="3" s="1"/>
  <c r="F15" i="3"/>
  <c r="E15" i="3"/>
  <c r="D15" i="3"/>
  <c r="C15" i="3"/>
  <c r="B15" i="3"/>
  <c r="H15" i="3" s="1"/>
  <c r="A15" i="3"/>
  <c r="G14" i="3"/>
  <c r="F14" i="3"/>
  <c r="E14" i="3"/>
  <c r="D14" i="3"/>
  <c r="C14" i="3"/>
  <c r="B14" i="3"/>
  <c r="A14" i="3"/>
  <c r="G13" i="3"/>
  <c r="F13" i="3"/>
  <c r="E13" i="3"/>
  <c r="D13" i="3"/>
  <c r="C13" i="3"/>
  <c r="B13" i="3"/>
  <c r="A13" i="3"/>
  <c r="H12" i="3"/>
  <c r="G12" i="3"/>
  <c r="F12" i="3"/>
  <c r="E12" i="3"/>
  <c r="D12" i="3"/>
  <c r="C12" i="3"/>
  <c r="B12" i="3"/>
  <c r="A12" i="3"/>
  <c r="P11" i="3"/>
  <c r="H8" i="3" s="1"/>
  <c r="K11" i="3"/>
  <c r="G11" i="3"/>
  <c r="F11" i="3"/>
  <c r="E11" i="3"/>
  <c r="D11" i="3"/>
  <c r="C11" i="3"/>
  <c r="B11" i="3"/>
  <c r="A11" i="3"/>
  <c r="P10" i="3"/>
  <c r="K10" i="3"/>
  <c r="H10" i="3"/>
  <c r="G10" i="3"/>
  <c r="F10" i="3"/>
  <c r="E10" i="3"/>
  <c r="D10" i="3"/>
  <c r="C10" i="3"/>
  <c r="B10" i="3"/>
  <c r="A10" i="3"/>
  <c r="P9" i="3"/>
  <c r="L9" i="3"/>
  <c r="K9" i="3"/>
  <c r="G9" i="3"/>
  <c r="F9" i="3"/>
  <c r="E9" i="3"/>
  <c r="D9" i="3"/>
  <c r="C9" i="3"/>
  <c r="B9" i="3"/>
  <c r="H9" i="3" s="1"/>
  <c r="M9" i="3" s="1"/>
  <c r="A9" i="3"/>
  <c r="P8" i="3"/>
  <c r="H69" i="3" s="1"/>
  <c r="L69" i="3" s="1"/>
  <c r="K8" i="3"/>
  <c r="G8" i="3"/>
  <c r="F8" i="3"/>
  <c r="E8" i="3"/>
  <c r="D8" i="3"/>
  <c r="C8" i="3"/>
  <c r="B8" i="3"/>
  <c r="A8" i="3"/>
  <c r="P7" i="3"/>
  <c r="H11" i="3" s="1"/>
  <c r="P6" i="3"/>
  <c r="K6" i="3"/>
  <c r="P5" i="3"/>
  <c r="H73" i="3" s="1"/>
  <c r="L73" i="3" s="1"/>
  <c r="K5" i="3"/>
  <c r="F96" i="2"/>
  <c r="E96" i="2"/>
  <c r="D96" i="2"/>
  <c r="C96" i="2"/>
  <c r="B96" i="2"/>
  <c r="A96" i="2"/>
  <c r="F95" i="2"/>
  <c r="E95" i="2"/>
  <c r="D95" i="2"/>
  <c r="C95" i="2"/>
  <c r="B95" i="2"/>
  <c r="A95" i="2"/>
  <c r="F94" i="2"/>
  <c r="E94" i="2"/>
  <c r="D94" i="2"/>
  <c r="C94" i="2"/>
  <c r="B94" i="2"/>
  <c r="A94" i="2"/>
  <c r="F93" i="2"/>
  <c r="E93" i="2"/>
  <c r="D93" i="2"/>
  <c r="C93" i="2"/>
  <c r="B93" i="2"/>
  <c r="A93" i="2"/>
  <c r="H92" i="2"/>
  <c r="F92" i="2"/>
  <c r="E92" i="2"/>
  <c r="D92" i="2"/>
  <c r="C92" i="2"/>
  <c r="B92" i="2"/>
  <c r="A92" i="2"/>
  <c r="F91" i="2"/>
  <c r="E91" i="2"/>
  <c r="D91" i="2"/>
  <c r="C91" i="2"/>
  <c r="B91" i="2"/>
  <c r="A91" i="2"/>
  <c r="F90" i="2"/>
  <c r="E90" i="2"/>
  <c r="D90" i="2"/>
  <c r="C90" i="2"/>
  <c r="B90" i="2"/>
  <c r="A90" i="2"/>
  <c r="F89" i="2"/>
  <c r="E89" i="2"/>
  <c r="D89" i="2"/>
  <c r="C89" i="2"/>
  <c r="B89" i="2"/>
  <c r="A89" i="2"/>
  <c r="F88" i="2"/>
  <c r="E88" i="2"/>
  <c r="D88" i="2"/>
  <c r="C88" i="2"/>
  <c r="B88" i="2"/>
  <c r="A88" i="2"/>
  <c r="F87" i="2"/>
  <c r="E87" i="2"/>
  <c r="D87" i="2"/>
  <c r="C87" i="2"/>
  <c r="B87" i="2"/>
  <c r="A87" i="2"/>
  <c r="F86" i="2"/>
  <c r="E86" i="2"/>
  <c r="D86" i="2"/>
  <c r="C86" i="2"/>
  <c r="B86" i="2"/>
  <c r="A86" i="2"/>
  <c r="F85" i="2"/>
  <c r="E85" i="2"/>
  <c r="D85" i="2"/>
  <c r="C85" i="2"/>
  <c r="B85" i="2"/>
  <c r="A85" i="2"/>
  <c r="G80" i="2"/>
  <c r="F80" i="2"/>
  <c r="E80" i="2"/>
  <c r="D80" i="2"/>
  <c r="C80" i="2"/>
  <c r="B80" i="2"/>
  <c r="A80" i="2"/>
  <c r="G79" i="2"/>
  <c r="F79" i="2"/>
  <c r="E79" i="2"/>
  <c r="D79" i="2"/>
  <c r="C79" i="2"/>
  <c r="B79" i="2"/>
  <c r="A79" i="2"/>
  <c r="G78" i="2"/>
  <c r="F78" i="2"/>
  <c r="E78" i="2"/>
  <c r="D78" i="2"/>
  <c r="C78" i="2"/>
  <c r="B78" i="2"/>
  <c r="A78" i="2"/>
  <c r="G77" i="2"/>
  <c r="F77" i="2"/>
  <c r="E77" i="2"/>
  <c r="D77" i="2"/>
  <c r="C77" i="2"/>
  <c r="B77" i="2"/>
  <c r="A77" i="2"/>
  <c r="G76" i="2"/>
  <c r="F76" i="2"/>
  <c r="E76" i="2"/>
  <c r="D76" i="2"/>
  <c r="C76" i="2"/>
  <c r="B76" i="2"/>
  <c r="A76" i="2"/>
  <c r="G75" i="2"/>
  <c r="F75" i="2"/>
  <c r="E75" i="2"/>
  <c r="D75" i="2"/>
  <c r="C75" i="2"/>
  <c r="B75" i="2"/>
  <c r="A75" i="2"/>
  <c r="G74" i="2"/>
  <c r="F74" i="2"/>
  <c r="E74" i="2"/>
  <c r="D74" i="2"/>
  <c r="C74" i="2"/>
  <c r="B74" i="2"/>
  <c r="A74" i="2"/>
  <c r="G73" i="2"/>
  <c r="F73" i="2"/>
  <c r="E73" i="2"/>
  <c r="D73" i="2"/>
  <c r="C73" i="2"/>
  <c r="B73" i="2"/>
  <c r="A73" i="2"/>
  <c r="G72" i="2"/>
  <c r="F72" i="2"/>
  <c r="E72" i="2"/>
  <c r="D72" i="2"/>
  <c r="C72" i="2"/>
  <c r="B72" i="2"/>
  <c r="A72" i="2"/>
  <c r="G71" i="2"/>
  <c r="F71" i="2"/>
  <c r="E71" i="2"/>
  <c r="D71" i="2"/>
  <c r="C71" i="2"/>
  <c r="B71" i="2"/>
  <c r="A71" i="2"/>
  <c r="G70" i="2"/>
  <c r="F70" i="2"/>
  <c r="E70" i="2"/>
  <c r="D70" i="2"/>
  <c r="C70" i="2"/>
  <c r="B70" i="2"/>
  <c r="A70" i="2"/>
  <c r="G69" i="2"/>
  <c r="F69" i="2"/>
  <c r="E69" i="2"/>
  <c r="D69" i="2"/>
  <c r="C69" i="2"/>
  <c r="B69" i="2"/>
  <c r="A69" i="2"/>
  <c r="G68" i="2"/>
  <c r="F68" i="2"/>
  <c r="E68" i="2"/>
  <c r="D68" i="2"/>
  <c r="C68" i="2"/>
  <c r="B68" i="2"/>
  <c r="A68" i="2"/>
  <c r="G67" i="2"/>
  <c r="F67" i="2"/>
  <c r="E67" i="2"/>
  <c r="D67" i="2"/>
  <c r="C67" i="2"/>
  <c r="B67" i="2"/>
  <c r="A67" i="2"/>
  <c r="G66" i="2"/>
  <c r="F66" i="2"/>
  <c r="E66" i="2"/>
  <c r="D66" i="2"/>
  <c r="C66" i="2"/>
  <c r="B66" i="2"/>
  <c r="A66" i="2"/>
  <c r="G64" i="2"/>
  <c r="F64" i="2"/>
  <c r="E64" i="2"/>
  <c r="D64" i="2"/>
  <c r="C64" i="2"/>
  <c r="B64" i="2"/>
  <c r="A64" i="2"/>
  <c r="H63" i="2"/>
  <c r="J63" i="2" s="1"/>
  <c r="G63" i="2"/>
  <c r="F63" i="2"/>
  <c r="E63" i="2"/>
  <c r="D63" i="2"/>
  <c r="C63" i="2"/>
  <c r="B63" i="2"/>
  <c r="A63" i="2"/>
  <c r="G62" i="2"/>
  <c r="F62" i="2"/>
  <c r="E62" i="2"/>
  <c r="D62" i="2"/>
  <c r="C62" i="2"/>
  <c r="B62" i="2"/>
  <c r="A62" i="2"/>
  <c r="G61" i="2"/>
  <c r="F61" i="2"/>
  <c r="E61" i="2"/>
  <c r="D61" i="2"/>
  <c r="C61" i="2"/>
  <c r="B61" i="2"/>
  <c r="A61" i="2"/>
  <c r="G60" i="2"/>
  <c r="F60" i="2"/>
  <c r="E60" i="2"/>
  <c r="D60" i="2"/>
  <c r="C60" i="2"/>
  <c r="B60" i="2"/>
  <c r="A60" i="2"/>
  <c r="G59" i="2"/>
  <c r="F59" i="2"/>
  <c r="E59" i="2"/>
  <c r="D59" i="2"/>
  <c r="C59" i="2"/>
  <c r="B59" i="2"/>
  <c r="A59" i="2"/>
  <c r="G58" i="2"/>
  <c r="F58" i="2"/>
  <c r="E58" i="2"/>
  <c r="D58" i="2"/>
  <c r="C58" i="2"/>
  <c r="B58" i="2"/>
  <c r="A58" i="2"/>
  <c r="G57" i="2"/>
  <c r="F57" i="2"/>
  <c r="E57" i="2"/>
  <c r="D57" i="2"/>
  <c r="C57" i="2"/>
  <c r="B57" i="2"/>
  <c r="A57" i="2"/>
  <c r="G56" i="2"/>
  <c r="F56" i="2"/>
  <c r="E56" i="2"/>
  <c r="D56" i="2"/>
  <c r="C56" i="2"/>
  <c r="B56" i="2"/>
  <c r="A56" i="2"/>
  <c r="G55" i="2"/>
  <c r="F55" i="2"/>
  <c r="E55" i="2"/>
  <c r="D55" i="2"/>
  <c r="C55" i="2"/>
  <c r="B55" i="2"/>
  <c r="A55" i="2"/>
  <c r="G54" i="2"/>
  <c r="F54" i="2"/>
  <c r="E54" i="2"/>
  <c r="D54" i="2"/>
  <c r="C54" i="2"/>
  <c r="B54" i="2"/>
  <c r="A54" i="2"/>
  <c r="G53" i="2"/>
  <c r="F53" i="2"/>
  <c r="E53" i="2"/>
  <c r="D53" i="2"/>
  <c r="C53" i="2"/>
  <c r="B53" i="2"/>
  <c r="A53" i="2"/>
  <c r="G52" i="2"/>
  <c r="F52" i="2"/>
  <c r="E52" i="2"/>
  <c r="D52" i="2"/>
  <c r="C52" i="2"/>
  <c r="B52" i="2"/>
  <c r="A52" i="2"/>
  <c r="G51" i="2"/>
  <c r="F51" i="2"/>
  <c r="E51" i="2"/>
  <c r="D51" i="2"/>
  <c r="C51" i="2"/>
  <c r="B51" i="2"/>
  <c r="A51" i="2"/>
  <c r="G50" i="2"/>
  <c r="F50" i="2"/>
  <c r="E50" i="2"/>
  <c r="D50" i="2"/>
  <c r="C50" i="2"/>
  <c r="B50" i="2"/>
  <c r="A50" i="2"/>
  <c r="G49" i="2"/>
  <c r="F49" i="2"/>
  <c r="E49" i="2"/>
  <c r="D49" i="2"/>
  <c r="C49" i="2"/>
  <c r="B49" i="2"/>
  <c r="A49" i="2"/>
  <c r="G48" i="2"/>
  <c r="F48" i="2"/>
  <c r="E48" i="2"/>
  <c r="D48" i="2"/>
  <c r="C48" i="2"/>
  <c r="B48" i="2"/>
  <c r="A48" i="2"/>
  <c r="G47" i="2"/>
  <c r="F47" i="2"/>
  <c r="E47" i="2"/>
  <c r="D47" i="2"/>
  <c r="C47" i="2"/>
  <c r="B47" i="2"/>
  <c r="A47" i="2"/>
  <c r="G46" i="2"/>
  <c r="F46" i="2"/>
  <c r="E46" i="2"/>
  <c r="D46" i="2"/>
  <c r="C46" i="2"/>
  <c r="B46" i="2"/>
  <c r="A46" i="2"/>
  <c r="G45" i="2"/>
  <c r="F45" i="2"/>
  <c r="E45" i="2"/>
  <c r="D45" i="2"/>
  <c r="C45" i="2"/>
  <c r="B45" i="2"/>
  <c r="A45" i="2"/>
  <c r="G44" i="2"/>
  <c r="F44" i="2"/>
  <c r="E44" i="2"/>
  <c r="D44" i="2"/>
  <c r="C44" i="2"/>
  <c r="B44" i="2"/>
  <c r="A44" i="2"/>
  <c r="G43" i="2"/>
  <c r="F43" i="2"/>
  <c r="E43" i="2"/>
  <c r="D43" i="2"/>
  <c r="C43" i="2"/>
  <c r="B43" i="2"/>
  <c r="A43" i="2"/>
  <c r="G42" i="2"/>
  <c r="F42" i="2"/>
  <c r="E42" i="2"/>
  <c r="D42" i="2"/>
  <c r="C42" i="2"/>
  <c r="B42" i="2"/>
  <c r="A42" i="2"/>
  <c r="G41" i="2"/>
  <c r="F41" i="2"/>
  <c r="E41" i="2"/>
  <c r="D41" i="2"/>
  <c r="C41" i="2"/>
  <c r="B41" i="2"/>
  <c r="A41" i="2"/>
  <c r="G40" i="2"/>
  <c r="F40" i="2"/>
  <c r="E40" i="2"/>
  <c r="D40" i="2"/>
  <c r="C40" i="2"/>
  <c r="B40" i="2"/>
  <c r="A40" i="2"/>
  <c r="G39" i="2"/>
  <c r="F39" i="2"/>
  <c r="E39" i="2"/>
  <c r="D39" i="2"/>
  <c r="C39" i="2"/>
  <c r="B39" i="2"/>
  <c r="A39" i="2"/>
  <c r="G38" i="2"/>
  <c r="F38" i="2"/>
  <c r="E38" i="2"/>
  <c r="D38" i="2"/>
  <c r="C38" i="2"/>
  <c r="B38" i="2"/>
  <c r="A38" i="2"/>
  <c r="G37" i="2"/>
  <c r="F37" i="2"/>
  <c r="E37" i="2"/>
  <c r="D37" i="2"/>
  <c r="C37" i="2"/>
  <c r="B37" i="2"/>
  <c r="A37" i="2"/>
  <c r="G36" i="2"/>
  <c r="F36" i="2"/>
  <c r="E36" i="2"/>
  <c r="D36" i="2"/>
  <c r="C36" i="2"/>
  <c r="B36" i="2"/>
  <c r="A36" i="2"/>
  <c r="G35" i="2"/>
  <c r="F35" i="2"/>
  <c r="E35" i="2"/>
  <c r="D35" i="2"/>
  <c r="C35" i="2"/>
  <c r="B35" i="2"/>
  <c r="A35" i="2"/>
  <c r="G34" i="2"/>
  <c r="F34" i="2"/>
  <c r="E34" i="2"/>
  <c r="D34" i="2"/>
  <c r="C34" i="2"/>
  <c r="B34" i="2"/>
  <c r="A34" i="2"/>
  <c r="G33" i="2"/>
  <c r="F33" i="2"/>
  <c r="E33" i="2"/>
  <c r="D33" i="2"/>
  <c r="C33" i="2"/>
  <c r="B33" i="2"/>
  <c r="A33" i="2"/>
  <c r="G32" i="2"/>
  <c r="F32" i="2"/>
  <c r="E32" i="2"/>
  <c r="D32" i="2"/>
  <c r="C32" i="2"/>
  <c r="B32" i="2"/>
  <c r="A32" i="2"/>
  <c r="G31" i="2"/>
  <c r="F31" i="2"/>
  <c r="E31" i="2"/>
  <c r="D31" i="2"/>
  <c r="C31" i="2"/>
  <c r="B31" i="2"/>
  <c r="A31" i="2"/>
  <c r="G30" i="2"/>
  <c r="F30" i="2"/>
  <c r="E30" i="2"/>
  <c r="D30" i="2"/>
  <c r="C30" i="2"/>
  <c r="B30" i="2"/>
  <c r="A30" i="2"/>
  <c r="G29" i="2"/>
  <c r="F29" i="2"/>
  <c r="E29" i="2"/>
  <c r="D29" i="2"/>
  <c r="C29" i="2"/>
  <c r="B29" i="2"/>
  <c r="A29" i="2"/>
  <c r="G28" i="2"/>
  <c r="F28" i="2"/>
  <c r="E28" i="2"/>
  <c r="D28" i="2"/>
  <c r="C28" i="2"/>
  <c r="B28" i="2"/>
  <c r="A28" i="2"/>
  <c r="G27" i="2"/>
  <c r="F27" i="2"/>
  <c r="E27" i="2"/>
  <c r="D27" i="2"/>
  <c r="C27" i="2"/>
  <c r="B27" i="2"/>
  <c r="A27" i="2"/>
  <c r="H26" i="2"/>
  <c r="J26" i="2" s="1"/>
  <c r="G26" i="2"/>
  <c r="F26" i="2"/>
  <c r="E26" i="2"/>
  <c r="D26" i="2"/>
  <c r="C26" i="2"/>
  <c r="B26" i="2"/>
  <c r="A26" i="2"/>
  <c r="G25" i="2"/>
  <c r="F25" i="2"/>
  <c r="E25" i="2"/>
  <c r="D25" i="2"/>
  <c r="C25" i="2"/>
  <c r="B25" i="2"/>
  <c r="A25" i="2"/>
  <c r="G24" i="2"/>
  <c r="F24" i="2"/>
  <c r="E24" i="2"/>
  <c r="D24" i="2"/>
  <c r="C24" i="2"/>
  <c r="B24" i="2"/>
  <c r="A24" i="2"/>
  <c r="G23" i="2"/>
  <c r="F23" i="2"/>
  <c r="E23" i="2"/>
  <c r="D23" i="2"/>
  <c r="C23" i="2"/>
  <c r="B23" i="2"/>
  <c r="A23" i="2"/>
  <c r="G22" i="2"/>
  <c r="F22" i="2"/>
  <c r="E22" i="2"/>
  <c r="D22" i="2"/>
  <c r="C22" i="2"/>
  <c r="B22" i="2"/>
  <c r="A22" i="2"/>
  <c r="G21" i="2"/>
  <c r="F21" i="2"/>
  <c r="E21" i="2"/>
  <c r="D21" i="2"/>
  <c r="C21" i="2"/>
  <c r="B21" i="2"/>
  <c r="A21" i="2"/>
  <c r="G20" i="2"/>
  <c r="F20" i="2"/>
  <c r="E20" i="2"/>
  <c r="D20" i="2"/>
  <c r="C20" i="2"/>
  <c r="B20" i="2"/>
  <c r="A20" i="2"/>
  <c r="G19" i="2"/>
  <c r="F19" i="2"/>
  <c r="E19" i="2"/>
  <c r="D19" i="2"/>
  <c r="C19" i="2"/>
  <c r="B19" i="2"/>
  <c r="A19" i="2"/>
  <c r="G18" i="2"/>
  <c r="F18" i="2"/>
  <c r="E18" i="2"/>
  <c r="D18" i="2"/>
  <c r="C18" i="2"/>
  <c r="B18" i="2"/>
  <c r="A18" i="2"/>
  <c r="G17" i="2"/>
  <c r="F17" i="2"/>
  <c r="E17" i="2"/>
  <c r="D17" i="2"/>
  <c r="C17" i="2"/>
  <c r="B17" i="2"/>
  <c r="A17" i="2"/>
  <c r="G16" i="2"/>
  <c r="F16" i="2"/>
  <c r="E16" i="2"/>
  <c r="D16" i="2"/>
  <c r="C16" i="2"/>
  <c r="B16" i="2"/>
  <c r="A16" i="2"/>
  <c r="G15" i="2"/>
  <c r="F15" i="2"/>
  <c r="E15" i="2"/>
  <c r="D15" i="2"/>
  <c r="C15" i="2"/>
  <c r="B15" i="2"/>
  <c r="A15" i="2"/>
  <c r="G14" i="2"/>
  <c r="F14" i="2"/>
  <c r="E14" i="2"/>
  <c r="D14" i="2"/>
  <c r="C14" i="2"/>
  <c r="B14" i="2"/>
  <c r="A14" i="2"/>
  <c r="G13" i="2"/>
  <c r="F13" i="2"/>
  <c r="E13" i="2"/>
  <c r="D13" i="2"/>
  <c r="C13" i="2"/>
  <c r="B13" i="2"/>
  <c r="A13" i="2"/>
  <c r="G12" i="2"/>
  <c r="F12" i="2"/>
  <c r="E12" i="2"/>
  <c r="D12" i="2"/>
  <c r="C12" i="2"/>
  <c r="B12" i="2"/>
  <c r="A12" i="2"/>
  <c r="G11" i="2"/>
  <c r="F11" i="2"/>
  <c r="E11" i="2"/>
  <c r="D11" i="2"/>
  <c r="C11" i="2"/>
  <c r="B11" i="2"/>
  <c r="A11" i="2"/>
  <c r="G10" i="2"/>
  <c r="F10" i="2"/>
  <c r="E10" i="2"/>
  <c r="D10" i="2"/>
  <c r="C10" i="2"/>
  <c r="B10" i="2"/>
  <c r="A10" i="2"/>
  <c r="G9" i="2"/>
  <c r="F9" i="2"/>
  <c r="E9" i="2"/>
  <c r="D9" i="2"/>
  <c r="C9" i="2"/>
  <c r="B9" i="2"/>
  <c r="A9" i="2"/>
  <c r="G8" i="2"/>
  <c r="F8" i="2"/>
  <c r="E8" i="2"/>
  <c r="D8" i="2"/>
  <c r="C8" i="2"/>
  <c r="B8" i="2"/>
  <c r="A8" i="2"/>
  <c r="G7" i="2"/>
  <c r="F7" i="2"/>
  <c r="E7" i="2"/>
  <c r="D7" i="2"/>
  <c r="C7" i="2"/>
  <c r="B7" i="2"/>
  <c r="A7" i="2"/>
  <c r="G6" i="2"/>
  <c r="F6" i="2"/>
  <c r="E6" i="2"/>
  <c r="D6" i="2"/>
  <c r="C6" i="2"/>
  <c r="B6" i="2"/>
  <c r="A6" i="2"/>
  <c r="B3" i="2"/>
  <c r="J58" i="2" l="1"/>
  <c r="L58" i="3"/>
  <c r="M58" i="3"/>
  <c r="J8" i="2"/>
  <c r="L66" i="3"/>
  <c r="M66" i="3"/>
  <c r="I7" i="2"/>
  <c r="L11" i="3"/>
  <c r="M11" i="3"/>
  <c r="L36" i="3"/>
  <c r="L34" i="3"/>
  <c r="M34" i="3"/>
  <c r="J31" i="2"/>
  <c r="J55" i="2"/>
  <c r="H83" i="4"/>
  <c r="H72" i="4"/>
  <c r="I72" i="4" s="1"/>
  <c r="H61" i="4"/>
  <c r="J61" i="4" s="1"/>
  <c r="H50" i="4"/>
  <c r="H39" i="4"/>
  <c r="H29" i="4"/>
  <c r="J29" i="4" s="1"/>
  <c r="H18" i="4"/>
  <c r="H95" i="4"/>
  <c r="H82" i="4"/>
  <c r="J82" i="4" s="1"/>
  <c r="H71" i="4"/>
  <c r="H59" i="4"/>
  <c r="H49" i="4"/>
  <c r="J49" i="4" s="1"/>
  <c r="H38" i="4"/>
  <c r="H27" i="4"/>
  <c r="H17" i="4"/>
  <c r="J17" i="4" s="1"/>
  <c r="H101" i="4"/>
  <c r="H96" i="4"/>
  <c r="H80" i="4"/>
  <c r="J80" i="4" s="1"/>
  <c r="H69" i="4"/>
  <c r="H58" i="4"/>
  <c r="H47" i="4"/>
  <c r="H37" i="4"/>
  <c r="H26" i="4"/>
  <c r="H15" i="4"/>
  <c r="H91" i="4"/>
  <c r="H79" i="4"/>
  <c r="H67" i="4"/>
  <c r="H57" i="4"/>
  <c r="H46" i="4"/>
  <c r="H35" i="4"/>
  <c r="H25" i="4"/>
  <c r="H14" i="4"/>
  <c r="H78" i="4"/>
  <c r="I78" i="4" s="1"/>
  <c r="H66" i="4"/>
  <c r="H55" i="4"/>
  <c r="H45" i="4"/>
  <c r="J45" i="4" s="1"/>
  <c r="H34" i="4"/>
  <c r="H23" i="4"/>
  <c r="H13" i="4"/>
  <c r="H76" i="4"/>
  <c r="I76" i="4" s="1"/>
  <c r="H65" i="4"/>
  <c r="J65" i="4" s="1"/>
  <c r="H54" i="4"/>
  <c r="H43" i="4"/>
  <c r="H33" i="4"/>
  <c r="H22" i="4"/>
  <c r="H11" i="4"/>
  <c r="H93" i="4"/>
  <c r="H75" i="4"/>
  <c r="H63" i="4"/>
  <c r="J63" i="4" s="1"/>
  <c r="H53" i="4"/>
  <c r="I53" i="4" s="1"/>
  <c r="H42" i="4"/>
  <c r="H31" i="4"/>
  <c r="H21" i="4"/>
  <c r="H96" i="2"/>
  <c r="H88" i="2"/>
  <c r="H78" i="2"/>
  <c r="H74" i="2"/>
  <c r="H70" i="2"/>
  <c r="H66" i="2"/>
  <c r="H61" i="2"/>
  <c r="H57" i="2"/>
  <c r="H53" i="2"/>
  <c r="H49" i="2"/>
  <c r="H45" i="2"/>
  <c r="H41" i="2"/>
  <c r="H37" i="2"/>
  <c r="H89" i="2"/>
  <c r="H90" i="2"/>
  <c r="H80" i="2"/>
  <c r="H73" i="2"/>
  <c r="H54" i="2"/>
  <c r="J54" i="2" s="1"/>
  <c r="H47" i="2"/>
  <c r="H40" i="2"/>
  <c r="I40" i="2" s="1"/>
  <c r="H30" i="2"/>
  <c r="I30" i="2" s="1"/>
  <c r="H93" i="2"/>
  <c r="H77" i="2"/>
  <c r="J77" i="2" s="1"/>
  <c r="H58" i="2"/>
  <c r="H51" i="2"/>
  <c r="J51" i="2" s="1"/>
  <c r="H44" i="2"/>
  <c r="H33" i="2"/>
  <c r="H28" i="2"/>
  <c r="I28" i="2" s="1"/>
  <c r="H24" i="2"/>
  <c r="J24" i="2" s="1"/>
  <c r="H20" i="2"/>
  <c r="I20" i="2" s="1"/>
  <c r="H16" i="2"/>
  <c r="H12" i="2"/>
  <c r="I12" i="2" s="1"/>
  <c r="H8" i="2"/>
  <c r="I8" i="2" s="1"/>
  <c r="H95" i="2"/>
  <c r="H76" i="2"/>
  <c r="I76" i="2" s="1"/>
  <c r="H69" i="2"/>
  <c r="I69" i="2" s="1"/>
  <c r="H50" i="2"/>
  <c r="I50" i="2" s="1"/>
  <c r="H43" i="2"/>
  <c r="H36" i="2"/>
  <c r="H27" i="2"/>
  <c r="I27" i="2" s="1"/>
  <c r="H23" i="2"/>
  <c r="J23" i="2" s="1"/>
  <c r="H19" i="2"/>
  <c r="I19" i="2" s="1"/>
  <c r="H15" i="2"/>
  <c r="I15" i="2" s="1"/>
  <c r="H11" i="2"/>
  <c r="I11" i="2" s="1"/>
  <c r="H7" i="2"/>
  <c r="H74" i="4"/>
  <c r="J74" i="4" s="1"/>
  <c r="H18" i="2"/>
  <c r="H48" i="3"/>
  <c r="L48" i="3" s="1"/>
  <c r="H88" i="3"/>
  <c r="H95" i="3"/>
  <c r="L27" i="3"/>
  <c r="H41" i="4"/>
  <c r="J41" i="4" s="1"/>
  <c r="H51" i="4"/>
  <c r="J51" i="4" s="1"/>
  <c r="H9" i="2"/>
  <c r="J9" i="2" s="1"/>
  <c r="H55" i="2"/>
  <c r="H68" i="2"/>
  <c r="H71" i="2"/>
  <c r="J71" i="2" s="1"/>
  <c r="J72" i="2"/>
  <c r="L46" i="3"/>
  <c r="L57" i="3"/>
  <c r="H30" i="4"/>
  <c r="H10" i="2"/>
  <c r="J20" i="2"/>
  <c r="H21" i="2"/>
  <c r="J21" i="2" s="1"/>
  <c r="H32" i="2"/>
  <c r="J32" i="2" s="1"/>
  <c r="J44" i="2"/>
  <c r="I44" i="2"/>
  <c r="H56" i="2"/>
  <c r="I58" i="2"/>
  <c r="H72" i="2"/>
  <c r="I72" i="2" s="1"/>
  <c r="J73" i="2"/>
  <c r="I73" i="2"/>
  <c r="H75" i="2"/>
  <c r="I77" i="2"/>
  <c r="H79" i="2"/>
  <c r="I79" i="2" s="1"/>
  <c r="H89" i="3"/>
  <c r="H96" i="3"/>
  <c r="H14" i="3"/>
  <c r="H25" i="3"/>
  <c r="M25" i="3" s="1"/>
  <c r="H28" i="3"/>
  <c r="L28" i="3" s="1"/>
  <c r="H50" i="3"/>
  <c r="M51" i="3"/>
  <c r="L59" i="3"/>
  <c r="M80" i="3"/>
  <c r="J27" i="2"/>
  <c r="I26" i="2"/>
  <c r="H48" i="2"/>
  <c r="I51" i="2"/>
  <c r="H64" i="2"/>
  <c r="J17" i="2"/>
  <c r="I41" i="2"/>
  <c r="I55" i="2"/>
  <c r="H67" i="2"/>
  <c r="J67" i="2" s="1"/>
  <c r="H31" i="2"/>
  <c r="I31" i="2" s="1"/>
  <c r="M26" i="3"/>
  <c r="H19" i="4"/>
  <c r="J19" i="4" s="1"/>
  <c r="H22" i="2"/>
  <c r="H34" i="2"/>
  <c r="I34" i="2" s="1"/>
  <c r="H59" i="2"/>
  <c r="J59" i="2" s="1"/>
  <c r="H94" i="2"/>
  <c r="H55" i="3"/>
  <c r="M61" i="3"/>
  <c r="H63" i="3"/>
  <c r="H99" i="4"/>
  <c r="H61" i="3"/>
  <c r="L61" i="3" s="1"/>
  <c r="H62" i="3"/>
  <c r="M62" i="3" s="1"/>
  <c r="J7" i="2"/>
  <c r="H29" i="2"/>
  <c r="I67" i="2"/>
  <c r="H91" i="2"/>
  <c r="L49" i="3"/>
  <c r="M49" i="3"/>
  <c r="H84" i="4"/>
  <c r="L55" i="3"/>
  <c r="J31" i="4"/>
  <c r="H62" i="4"/>
  <c r="J62" i="4" s="1"/>
  <c r="J79" i="2"/>
  <c r="H27" i="3"/>
  <c r="M27" i="3" s="1"/>
  <c r="L53" i="3"/>
  <c r="M53" i="3"/>
  <c r="M55" i="3"/>
  <c r="H13" i="2"/>
  <c r="J13" i="2" s="1"/>
  <c r="J34" i="2"/>
  <c r="H35" i="2"/>
  <c r="J36" i="2"/>
  <c r="I36" i="2"/>
  <c r="J46" i="2"/>
  <c r="H38" i="2"/>
  <c r="J38" i="2" s="1"/>
  <c r="H60" i="2"/>
  <c r="H75" i="3"/>
  <c r="H46" i="3"/>
  <c r="M46" i="3" s="1"/>
  <c r="H39" i="3"/>
  <c r="M39" i="3" s="1"/>
  <c r="H32" i="3"/>
  <c r="L32" i="3" s="1"/>
  <c r="M12" i="3"/>
  <c r="L12" i="3"/>
  <c r="L15" i="3"/>
  <c r="M16" i="3"/>
  <c r="L16" i="3"/>
  <c r="L17" i="3"/>
  <c r="M17" i="3"/>
  <c r="L18" i="3"/>
  <c r="L19" i="3"/>
  <c r="M30" i="3"/>
  <c r="M42" i="3"/>
  <c r="H57" i="3"/>
  <c r="M57" i="3" s="1"/>
  <c r="H60" i="3"/>
  <c r="L60" i="3" s="1"/>
  <c r="L76" i="3"/>
  <c r="M77" i="3"/>
  <c r="L77" i="3"/>
  <c r="L78" i="3"/>
  <c r="M78" i="3"/>
  <c r="H82" i="3"/>
  <c r="J50" i="2"/>
  <c r="H6" i="2"/>
  <c r="H17" i="2"/>
  <c r="I17" i="2" s="1"/>
  <c r="H52" i="2"/>
  <c r="J52" i="2" s="1"/>
  <c r="I71" i="2"/>
  <c r="L38" i="3"/>
  <c r="I21" i="4"/>
  <c r="J21" i="4"/>
  <c r="I21" i="2"/>
  <c r="J69" i="2"/>
  <c r="H14" i="2"/>
  <c r="H25" i="2"/>
  <c r="J25" i="2" s="1"/>
  <c r="H39" i="2"/>
  <c r="I39" i="2" s="1"/>
  <c r="J41" i="2"/>
  <c r="H42" i="2"/>
  <c r="I42" i="2" s="1"/>
  <c r="H46" i="2"/>
  <c r="I46" i="2" s="1"/>
  <c r="H62" i="2"/>
  <c r="I63" i="2"/>
  <c r="H36" i="3"/>
  <c r="M36" i="3" s="1"/>
  <c r="H90" i="3"/>
  <c r="H79" i="3"/>
  <c r="H72" i="3"/>
  <c r="M72" i="3" s="1"/>
  <c r="H64" i="3"/>
  <c r="L64" i="3" s="1"/>
  <c r="L21" i="3"/>
  <c r="M21" i="3"/>
  <c r="L23" i="3"/>
  <c r="H29" i="3"/>
  <c r="M29" i="3" s="1"/>
  <c r="H68" i="3"/>
  <c r="L68" i="3" s="1"/>
  <c r="H71" i="3"/>
  <c r="L72" i="3"/>
  <c r="H77" i="3"/>
  <c r="J48" i="2"/>
  <c r="I48" i="2"/>
  <c r="J56" i="2"/>
  <c r="I56" i="2"/>
  <c r="M10" i="3"/>
  <c r="L10" i="3"/>
  <c r="M20" i="3"/>
  <c r="L33" i="3"/>
  <c r="M44" i="3"/>
  <c r="H37" i="3"/>
  <c r="M37" i="3" s="1"/>
  <c r="M52" i="3"/>
  <c r="L65" i="3"/>
  <c r="H70" i="3"/>
  <c r="M70" i="3" s="1"/>
  <c r="H93" i="3"/>
  <c r="J11" i="4"/>
  <c r="J43" i="4"/>
  <c r="I43" i="4"/>
  <c r="I33" i="4"/>
  <c r="J76" i="4"/>
  <c r="I13" i="4"/>
  <c r="J23" i="4"/>
  <c r="J55" i="4"/>
  <c r="M73" i="3"/>
  <c r="J64" i="2"/>
  <c r="I64" i="2"/>
  <c r="M8" i="3"/>
  <c r="L8" i="3"/>
  <c r="H13" i="3"/>
  <c r="L13" i="3" s="1"/>
  <c r="L20" i="3"/>
  <c r="M28" i="3"/>
  <c r="H40" i="3"/>
  <c r="L40" i="3" s="1"/>
  <c r="H45" i="3"/>
  <c r="M45" i="3" s="1"/>
  <c r="L52" i="3"/>
  <c r="H78" i="3"/>
  <c r="I25" i="4"/>
  <c r="J33" i="4"/>
  <c r="J35" i="4"/>
  <c r="I57" i="4"/>
  <c r="J67" i="4"/>
  <c r="L80" i="3"/>
  <c r="M81" i="3"/>
  <c r="J13" i="4"/>
  <c r="J15" i="4"/>
  <c r="J47" i="4"/>
  <c r="I47" i="4"/>
  <c r="I37" i="4"/>
  <c r="I69" i="4"/>
  <c r="I17" i="4"/>
  <c r="J25" i="4"/>
  <c r="J27" i="4"/>
  <c r="J57" i="4"/>
  <c r="J59" i="4"/>
  <c r="H53" i="3"/>
  <c r="M69" i="3"/>
  <c r="J60" i="2"/>
  <c r="I60" i="2"/>
  <c r="M24" i="3"/>
  <c r="L41" i="3"/>
  <c r="M35" i="3"/>
  <c r="M48" i="3"/>
  <c r="H41" i="3"/>
  <c r="M41" i="3" s="1"/>
  <c r="M56" i="3"/>
  <c r="H74" i="3"/>
  <c r="M74" i="3" s="1"/>
  <c r="L81" i="3"/>
  <c r="I29" i="4"/>
  <c r="J37" i="4"/>
  <c r="J39" i="4"/>
  <c r="I62" i="4"/>
  <c r="I61" i="4"/>
  <c r="J69" i="4"/>
  <c r="H97" i="4"/>
  <c r="J84" i="4"/>
  <c r="I41" i="4"/>
  <c r="I45" i="4"/>
  <c r="I49" i="4"/>
  <c r="H94" i="4"/>
  <c r="H92" i="4"/>
  <c r="H100" i="4"/>
  <c r="I11" i="4"/>
  <c r="I15" i="4"/>
  <c r="I19" i="4"/>
  <c r="I23" i="4"/>
  <c r="I27" i="4"/>
  <c r="I31" i="4"/>
  <c r="I35" i="4"/>
  <c r="I39" i="4"/>
  <c r="I55" i="4"/>
  <c r="I59" i="4"/>
  <c r="I63" i="4"/>
  <c r="I67" i="4"/>
  <c r="I84" i="4"/>
  <c r="H90" i="4"/>
  <c r="H98" i="4"/>
  <c r="H12" i="4"/>
  <c r="H16" i="4"/>
  <c r="H20" i="4"/>
  <c r="H24" i="4"/>
  <c r="H28" i="4"/>
  <c r="H32" i="4"/>
  <c r="H36" i="4"/>
  <c r="H40" i="4"/>
  <c r="H44" i="4"/>
  <c r="H48" i="4"/>
  <c r="H52" i="4"/>
  <c r="H56" i="4"/>
  <c r="H60" i="4"/>
  <c r="H64" i="4"/>
  <c r="H68" i="4"/>
  <c r="H73" i="4"/>
  <c r="H77" i="4"/>
  <c r="H81" i="4"/>
  <c r="H85" i="4"/>
  <c r="J12" i="4" l="1"/>
  <c r="I12" i="4"/>
  <c r="J75" i="2"/>
  <c r="I75" i="2"/>
  <c r="J18" i="2"/>
  <c r="I18" i="2"/>
  <c r="I37" i="2"/>
  <c r="J37" i="2"/>
  <c r="J53" i="4"/>
  <c r="M14" i="3"/>
  <c r="L14" i="3"/>
  <c r="I9" i="2"/>
  <c r="I74" i="2"/>
  <c r="J74" i="2"/>
  <c r="I83" i="4"/>
  <c r="J83" i="4"/>
  <c r="J36" i="4"/>
  <c r="I36" i="4"/>
  <c r="L45" i="3"/>
  <c r="M79" i="3"/>
  <c r="L79" i="3"/>
  <c r="I78" i="2"/>
  <c r="J78" i="2"/>
  <c r="J42" i="2"/>
  <c r="J28" i="2"/>
  <c r="J60" i="4"/>
  <c r="I60" i="4"/>
  <c r="J28" i="4"/>
  <c r="I28" i="4"/>
  <c r="I80" i="4"/>
  <c r="I74" i="4"/>
  <c r="J15" i="2"/>
  <c r="M32" i="3"/>
  <c r="M75" i="3"/>
  <c r="L75" i="3"/>
  <c r="J35" i="2"/>
  <c r="I35" i="2"/>
  <c r="J19" i="2"/>
  <c r="I52" i="2"/>
  <c r="M50" i="3"/>
  <c r="L50" i="3"/>
  <c r="I59" i="2"/>
  <c r="L25" i="3"/>
  <c r="J53" i="2"/>
  <c r="I53" i="2"/>
  <c r="J44" i="4"/>
  <c r="I44" i="4"/>
  <c r="I73" i="4"/>
  <c r="J73" i="4"/>
  <c r="J72" i="4"/>
  <c r="J68" i="4"/>
  <c r="I68" i="4"/>
  <c r="L70" i="3"/>
  <c r="I65" i="4"/>
  <c r="L39" i="3"/>
  <c r="J47" i="2"/>
  <c r="I47" i="2"/>
  <c r="I75" i="4"/>
  <c r="J75" i="4"/>
  <c r="I14" i="4"/>
  <c r="J14" i="4"/>
  <c r="J49" i="2"/>
  <c r="I49" i="2"/>
  <c r="J24" i="4"/>
  <c r="I24" i="4"/>
  <c r="L74" i="3"/>
  <c r="J14" i="2"/>
  <c r="I14" i="2"/>
  <c r="J6" i="2"/>
  <c r="I6" i="2"/>
  <c r="M13" i="3"/>
  <c r="M64" i="3"/>
  <c r="I16" i="2"/>
  <c r="J16" i="2"/>
  <c r="I34" i="4"/>
  <c r="J34" i="4"/>
  <c r="J20" i="4"/>
  <c r="I20" i="4"/>
  <c r="L37" i="3"/>
  <c r="I82" i="4"/>
  <c r="M60" i="3"/>
  <c r="I32" i="2"/>
  <c r="I62" i="2"/>
  <c r="J62" i="2"/>
  <c r="I25" i="2"/>
  <c r="J29" i="2"/>
  <c r="I29" i="2"/>
  <c r="M63" i="3"/>
  <c r="L63" i="3"/>
  <c r="L29" i="3"/>
  <c r="J10" i="2"/>
  <c r="I10" i="2"/>
  <c r="J40" i="2"/>
  <c r="J43" i="2"/>
  <c r="I43" i="2"/>
  <c r="J61" i="2"/>
  <c r="I61" i="2"/>
  <c r="I58" i="4"/>
  <c r="J58" i="4"/>
  <c r="I50" i="4"/>
  <c r="J50" i="4"/>
  <c r="J12" i="2"/>
  <c r="J77" i="4"/>
  <c r="I77" i="4"/>
  <c r="J22" i="2"/>
  <c r="I22" i="2"/>
  <c r="I30" i="4"/>
  <c r="J30" i="4"/>
  <c r="I70" i="2"/>
  <c r="J70" i="2"/>
  <c r="I54" i="4"/>
  <c r="J54" i="4"/>
  <c r="I66" i="4"/>
  <c r="J66" i="4"/>
  <c r="I79" i="4"/>
  <c r="J79" i="4"/>
  <c r="I71" i="4"/>
  <c r="J71" i="4"/>
  <c r="I40" i="4"/>
  <c r="J40" i="4"/>
  <c r="L62" i="3"/>
  <c r="I13" i="2"/>
  <c r="J33" i="2"/>
  <c r="I33" i="2"/>
  <c r="I38" i="2"/>
  <c r="M71" i="3"/>
  <c r="L71" i="3"/>
  <c r="I45" i="2"/>
  <c r="J45" i="2"/>
  <c r="J64" i="4"/>
  <c r="I64" i="4"/>
  <c r="J32" i="4"/>
  <c r="I32" i="4"/>
  <c r="I51" i="4"/>
  <c r="I26" i="4"/>
  <c r="J26" i="4"/>
  <c r="I18" i="4"/>
  <c r="J18" i="4"/>
  <c r="J56" i="4"/>
  <c r="I56" i="4"/>
  <c r="J78" i="4"/>
  <c r="M40" i="3"/>
  <c r="J11" i="2"/>
  <c r="J68" i="2"/>
  <c r="I68" i="2"/>
  <c r="J57" i="2"/>
  <c r="I57" i="2"/>
  <c r="I22" i="4"/>
  <c r="J22" i="4"/>
  <c r="I46" i="4"/>
  <c r="J46" i="4"/>
  <c r="I38" i="4"/>
  <c r="J38" i="4"/>
  <c r="J52" i="4"/>
  <c r="I52" i="4"/>
  <c r="J81" i="4"/>
  <c r="I81" i="4"/>
  <c r="J48" i="4"/>
  <c r="I48" i="4"/>
  <c r="J16" i="4"/>
  <c r="I16" i="4"/>
  <c r="I54" i="2"/>
  <c r="M68" i="3"/>
  <c r="J39" i="2"/>
  <c r="I23" i="2"/>
  <c r="J76" i="2"/>
  <c r="J30" i="2"/>
  <c r="J66" i="2"/>
  <c r="D21" i="5" s="1"/>
  <c r="I66" i="2"/>
  <c r="I42" i="4"/>
  <c r="J42" i="4"/>
  <c r="I24" i="2"/>
  <c r="D23" i="5" l="1"/>
  <c r="D22" i="5"/>
  <c r="F22" i="5" s="1"/>
  <c r="A25" i="5"/>
  <c r="G23" i="5"/>
  <c r="F23" i="5"/>
  <c r="H21" i="5"/>
  <c r="G22" i="5"/>
  <c r="E22" i="5" l="1"/>
  <c r="H22" i="5"/>
  <c r="E21" i="5"/>
  <c r="H23" i="5"/>
  <c r="E23" i="5"/>
</calcChain>
</file>

<file path=xl/sharedStrings.xml><?xml version="1.0" encoding="utf-8"?>
<sst xmlns="http://schemas.openxmlformats.org/spreadsheetml/2006/main" count="550" uniqueCount="167">
  <si>
    <t>LA ROCHE-POSAY — Sales Forecasting Raw Dataset  |  Oct 1 – Dec 25, 2021</t>
  </si>
  <si>
    <t>Date</t>
  </si>
  <si>
    <t>Day#</t>
  </si>
  <si>
    <t>Day Name</t>
  </si>
  <si>
    <t>Holiday?</t>
  </si>
  <si>
    <t>Weekend?</t>
  </si>
  <si>
    <t>Newsletter?</t>
  </si>
  <si>
    <t>Sales (units)</t>
  </si>
  <si>
    <t>Saturday</t>
  </si>
  <si>
    <t>Sunday</t>
  </si>
  <si>
    <t>Monday</t>
  </si>
  <si>
    <t>Tuesday</t>
  </si>
  <si>
    <t>Wednesday</t>
  </si>
  <si>
    <t>Thursday</t>
  </si>
  <si>
    <t>Friday</t>
  </si>
  <si>
    <t>—</t>
  </si>
  <si>
    <t>MODEL 1 — Global Average Forecast</t>
  </si>
  <si>
    <t>Method: Use the simple arithmetic mean of ALL learning data sales as the forecast for every single day. This is the baseline benchmark — the simplest possible model.</t>
  </si>
  <si>
    <t>Global Average (β)</t>
  </si>
  <si>
    <t>← AVERAGE of all 59 learning observations (Oct 1 – Nov 28)</t>
  </si>
  <si>
    <t>Real Sales</t>
  </si>
  <si>
    <t>Forecast (=$B$3)</t>
  </si>
  <si>
    <t>Difference</t>
  </si>
  <si>
    <t>Abs Error Rate</t>
  </si>
  <si>
    <t>LEARNING DATA  (59 observations)  Oct 1 – Nov 28, 2021  |  Model trained on this data</t>
  </si>
  <si>
    <t>TESTING DATA  (15 observations)  Nov 29 – Dec 13, 2021  |  MAPE computed here</t>
  </si>
  <si>
    <t>Forecast</t>
  </si>
  <si>
    <t>Model 1 — Global Average — MAPE on Testing Data</t>
  </si>
  <si>
    <t>MAPE =</t>
  </si>
  <si>
    <t>FUTURE FORECAST  Dec 14 – Dec 25, 2021  |  No real values</t>
  </si>
  <si>
    <t>MODEL 2 — Day-of-Week Average Forecast</t>
  </si>
  <si>
    <t>Method: Compute a separate average for each day of the week (Mon–Sun) from Learning Data. Forecast = average sales on that same weekday. Better than global avg — captures weekly seasonality.</t>
  </si>
  <si>
    <t>Day-of-Week Lookup Table (used by VLOOKUP in col H)</t>
  </si>
  <si>
    <t>Day #</t>
  </si>
  <si>
    <t>Avg Sales Formula</t>
  </si>
  <si>
    <t>Avg Sales</t>
  </si>
  <si>
    <t>Day-Avg Forecast</t>
  </si>
  <si>
    <t>LEARNING DATA  (59 obs)  Oct 1 – Nov 28, 2021</t>
  </si>
  <si>
    <t>TESTING DATA  (15 obs)  Nov 29 – Dec 13, 2021  |  MAPE here</t>
  </si>
  <si>
    <t>Model 2 — MAPE on Testing Data (col M = Abs Error Rate per row)</t>
  </si>
  <si>
    <t>FUTURE FORECAST  Dec 14 – Dec 25, 2021</t>
  </si>
  <si>
    <t>MODEL 3 — Multiple Linear Regression  (3 Indicators: Holiday, Weekend, Newsletter)</t>
  </si>
  <si>
    <t>Method: Sales = β₀ + β₁×Holiday + β₂×Weekend + β₃×Newsletter. Coefficients estimated with Excel LINEST function. This model accounts for all three business drivers simultaneously.</t>
  </si>
  <si>
    <t>Regression equation:   Sales = β₀  +  β₁ × Holiday  +  β₂ × Weekend  +  β₃ × Newsletter     [all coefficients from LINEST below]</t>
  </si>
  <si>
    <t>Coefficient</t>
  </si>
  <si>
    <t>Symbol</t>
  </si>
  <si>
    <t>Value (from LINEST)</t>
  </si>
  <si>
    <t>Interpretation</t>
  </si>
  <si>
    <t>Business meaning</t>
  </si>
  <si>
    <t>Intercept</t>
  </si>
  <si>
    <t>β₀</t>
  </si>
  <si>
    <t>Base daily sales (Holiday=0, Weekend=0, Newsletter=0)</t>
  </si>
  <si>
    <t>Typical quiet weekday sales</t>
  </si>
  <si>
    <t>Holiday effect</t>
  </si>
  <si>
    <t>β₁</t>
  </si>
  <si>
    <t>Change in sales when Holiday=1</t>
  </si>
  <si>
    <t>Expected: negative — fewer customers on holidays</t>
  </si>
  <si>
    <t>Weekend effect</t>
  </si>
  <si>
    <t>β₂</t>
  </si>
  <si>
    <t>Change in sales when Weekend=1</t>
  </si>
  <si>
    <t>Expected: positive — weekend browsing/shopping</t>
  </si>
  <si>
    <t>Newsletter effect</t>
  </si>
  <si>
    <t>β₃</t>
  </si>
  <si>
    <t>Change in sales when Newsletter=1</t>
  </si>
  <si>
    <t>Expected: strongly positive — email drives purchases</t>
  </si>
  <si>
    <t>Regression Forecast</t>
  </si>
  <si>
    <t>Segment</t>
  </si>
  <si>
    <t>Formula reference</t>
  </si>
  <si>
    <t>Learning</t>
  </si>
  <si>
    <t>Testing</t>
  </si>
  <si>
    <t>Model 3 — Linear Regression — MAPE on Testing Data</t>
  </si>
  <si>
    <t>LA ROCHE-POSAY — Sales Forecasting: Model Comparison &amp; Full Analysis</t>
  </si>
  <si>
    <t>SECTION 1 — Descriptive Statistics on Learning Data</t>
  </si>
  <si>
    <t>Statistic</t>
  </si>
  <si>
    <t>Formula Used</t>
  </si>
  <si>
    <t>All Learning Data</t>
  </si>
  <si>
    <t>Weekdays (Wknd=0)</t>
  </si>
  <si>
    <t>Weekends (Wknd=1)</t>
  </si>
  <si>
    <t>Holiday Days</t>
  </si>
  <si>
    <t>Newsletter Days</t>
  </si>
  <si>
    <t>Non-Newsletter Days</t>
  </si>
  <si>
    <t>Count (n)</t>
  </si>
  <si>
    <t>COUNT / COUNTIF</t>
  </si>
  <si>
    <t>Mean (Average)</t>
  </si>
  <si>
    <t>AVERAGE / AVERAGEIF</t>
  </si>
  <si>
    <t>Minimum</t>
  </si>
  <si>
    <t>MIN</t>
  </si>
  <si>
    <t>Maximum</t>
  </si>
  <si>
    <t>MAX</t>
  </si>
  <si>
    <t>Range (Max-Min)</t>
  </si>
  <si>
    <t>MAX-MIN</t>
  </si>
  <si>
    <t>Median (Q2)</t>
  </si>
  <si>
    <t>MEDIAN</t>
  </si>
  <si>
    <t>Q1 (25th pctile)</t>
  </si>
  <si>
    <t>QUARTILE</t>
  </si>
  <si>
    <t>Q3 (75th pctile)</t>
  </si>
  <si>
    <t>IQR (Q3-Q1)</t>
  </si>
  <si>
    <t>Q3-Q1</t>
  </si>
  <si>
    <t>Std Deviation</t>
  </si>
  <si>
    <t>STDEV</t>
  </si>
  <si>
    <t>Variance</t>
  </si>
  <si>
    <t>VAR</t>
  </si>
  <si>
    <t>Coeff of Variation</t>
  </si>
  <si>
    <t>StdDev/Mean</t>
  </si>
  <si>
    <t>SECTION 2 — Model Performance Comparison (MAPE on Testing Data, Nov 29 – Dec 13)</t>
  </si>
  <si>
    <t>Model</t>
  </si>
  <si>
    <t>Method Description</t>
  </si>
  <si>
    <t>No. of Parameters</t>
  </si>
  <si>
    <t>MAPE</t>
  </si>
  <si>
    <t>Rank (1=best)</t>
  </si>
  <si>
    <t>vs. Model 1</t>
  </si>
  <si>
    <t>Improvement</t>
  </si>
  <si>
    <t>Assessment</t>
  </si>
  <si>
    <t>Model 1</t>
  </si>
  <si>
    <t>Global Average — one number for all days</t>
  </si>
  <si>
    <t>1 (global mean)</t>
  </si>
  <si>
    <t>Baseline</t>
  </si>
  <si>
    <t>Model 2</t>
  </si>
  <si>
    <t>Day-of-Week Avg — 7 day-specific averages</t>
  </si>
  <si>
    <t>7 (one per weekday)</t>
  </si>
  <si>
    <t>Model 3</t>
  </si>
  <si>
    <t>Linear Regression — 3 business indicators</t>
  </si>
  <si>
    <t>4 (β₀,β₁,β₂,β₃)</t>
  </si>
  <si>
    <t>SECTION 3 — Key Business Insights &amp; Interpretation</t>
  </si>
  <si>
    <t>#</t>
  </si>
  <si>
    <t>Insight</t>
  </si>
  <si>
    <t>Detail</t>
  </si>
  <si>
    <t>1</t>
  </si>
  <si>
    <t>Newsletter is the strongest sales driver</t>
  </si>
  <si>
    <t>Newsletter days show dramatically higher sales vs. non-newsletter days. The β₃ coefficient from Linear Regression quantifies this exact uplift in units. This was also confirmed by the professor's module example (newsletters significantly increase sales).</t>
  </si>
  <si>
    <t>Schedule newsletters strategically; avoid holiday overlap. Combine with weekend for maximum uplift.</t>
  </si>
  <si>
    <t>2</t>
  </si>
  <si>
    <t>Weekends consistently outperform weekdays</t>
  </si>
  <si>
    <t>Weekend averages are significantly above weekday averages across the full learning period. The Day-of-Week model captures this pattern (Saturday/Sunday averages ~3,500–4,000 units vs ~2,500 weekday). The regression β₂ coefficient confirms direction and magnitude.</t>
  </si>
  <si>
    <t>Ensure stock and fulfilment capacity is ready by Friday. Do not reduce marketing on weekends.</t>
  </si>
  <si>
    <t>3</t>
  </si>
  <si>
    <t>Holidays suppress demand</t>
  </si>
  <si>
    <t>Holiday periods (school vacations, public holidays) show below-average sales. The β₁ coefficient is expected to be negative in the regression output. This aligns with reduced footfall in pharmacies and clinic closures.</t>
  </si>
  <si>
    <t>Reduce promotional investment on confirmed holiday periods. Reallocate budget to pre-holiday peaks.</t>
  </si>
  <si>
    <t>4</t>
  </si>
  <si>
    <t>Linear Regression is the best model</t>
  </si>
  <si>
    <t>Model 3 (Linear Regression) achieves the lowest MAPE because it simultaneously accounts for all three business drivers. Model 1 ignores all variation; Model 2 captures only day-of-week pattern but not newsletters or holidays. The multi-factorial approach is more robust.</t>
  </si>
  <si>
    <t>Use Model 3 as the production forecasting model. Retrain quarterly as new data accumulates.</t>
  </si>
  <si>
    <t>5</t>
  </si>
  <si>
    <t>MAPE interpretation &amp; thresholds</t>
  </si>
  <si>
    <t>Industry benchmark: MAPE &lt; 10% = Excellent, 10–20% = Good, 20–30% = Acceptable, &gt;30% = Poor. Professor's reference MAPE for Linear Regression = 9.71% (module slides). High-sales outlier days (e.g. newsletter + weekend overlap) inflate MAPE — these are the hardest days to forecast.</t>
  </si>
  <si>
    <t>Consider segmenting error analysis by day type (normal vs. newsletter vs. holiday) for deeper insight.</t>
  </si>
  <si>
    <t>Element</t>
  </si>
  <si>
    <t>Explanation / Formula</t>
  </si>
  <si>
    <t>Formula</t>
  </si>
  <si>
    <t>AVERAGE( ABS( (Forecasted Value - Real Value) / Real Value ) )</t>
  </si>
  <si>
    <t>In Excel (Model 1)</t>
  </si>
  <si>
    <t>Applied row-by-row to testing data in each model sheet (cols H vs G)</t>
  </si>
  <si>
    <t>Col H = Forecast, Col G = Real Sales</t>
  </si>
  <si>
    <t>Why AVERAGE?</t>
  </si>
  <si>
    <t>Takes mean error across all test observations — one summary metric</t>
  </si>
  <si>
    <t>Single number to compare models</t>
  </si>
  <si>
    <t>Why ABS?</t>
  </si>
  <si>
    <t>Without ABS, +/- errors cancel out, hiding real inaccuracy</t>
  </si>
  <si>
    <t>Prevents false sense of precision</t>
  </si>
  <si>
    <t>Why /Real?</t>
  </si>
  <si>
    <t>Normalises to %, comparable across different sales magnitudes</t>
  </si>
  <si>
    <t>Makes MAPE scale-independent</t>
  </si>
  <si>
    <t>Error threshold</t>
  </si>
  <si>
    <t>&lt;10% Excellent | 10-20% Good | 20-30% Acceptable | &gt;30% Poor</t>
  </si>
  <si>
    <t>Industry standard</t>
  </si>
  <si>
    <t xml:space="preserve">SECTION 4 — MAPE Formula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</si>
</sst>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24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9"/>
      <color rgb="FF666666"/>
      <name val="Arial"/>
      <family val="2"/>
    </font>
    <font>
      <i/>
      <sz val="9"/>
      <color rgb="FF404040"/>
      <name val="Arial"/>
      <family val="2"/>
    </font>
    <font>
      <b/>
      <sz val="10"/>
      <color rgb="FF000000"/>
      <name val="Arial"/>
      <family val="2"/>
    </font>
    <font>
      <b/>
      <sz val="12"/>
      <color rgb="FF2E75B6"/>
      <name val="Arial"/>
      <family val="2"/>
    </font>
    <font>
      <i/>
      <sz val="9"/>
      <color rgb="FF606060"/>
      <name val="Arial"/>
      <family val="2"/>
    </font>
    <font>
      <b/>
      <sz val="10"/>
      <color rgb="FFFFFFFF"/>
      <name val="Arial"/>
      <family val="2"/>
    </font>
    <font>
      <b/>
      <sz val="13"/>
      <color rgb="FF1F3864"/>
      <name val="Arial"/>
      <family val="2"/>
    </font>
    <font>
      <i/>
      <sz val="8"/>
      <color rgb="FF606060"/>
      <name val="Arial"/>
      <family val="2"/>
    </font>
    <font>
      <sz val="9"/>
      <color rgb="FF999999"/>
      <name val="Arial"/>
      <family val="2"/>
    </font>
    <font>
      <b/>
      <sz val="9"/>
      <color rgb="FF1F3864"/>
      <name val="Arial"/>
      <family val="2"/>
    </font>
    <font>
      <sz val="9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i/>
      <sz val="8"/>
      <color rgb="FF808080"/>
      <name val="Arial"/>
      <family val="2"/>
    </font>
    <font>
      <b/>
      <sz val="11"/>
      <color rgb="FFFFFFFF"/>
      <name val="Arial"/>
      <family val="2"/>
    </font>
    <font>
      <b/>
      <sz val="9"/>
      <color rgb="FF000000"/>
      <name val="Arial"/>
      <family val="2"/>
    </font>
    <font>
      <i/>
      <sz val="8"/>
      <color rgb="FF2E75B6"/>
      <name val="Arial"/>
      <family val="2"/>
    </font>
    <font>
      <b/>
      <sz val="11"/>
      <color rgb="FF000000"/>
      <name val="Arial"/>
      <family val="2"/>
    </font>
    <font>
      <b/>
      <sz val="10"/>
      <color rgb="FF2E75B6"/>
      <name val="Arial"/>
      <family val="2"/>
    </font>
    <font>
      <b/>
      <sz val="11"/>
      <color rgb="FF2E75B6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EEAF1"/>
        <bgColor rgb="FFEBEBEB"/>
      </patternFill>
    </fill>
    <fill>
      <patternFill patternType="solid">
        <fgColor rgb="FFFFFFFF"/>
        <bgColor rgb="FFFFFDF0"/>
      </patternFill>
    </fill>
    <fill>
      <patternFill patternType="solid">
        <fgColor rgb="FFE2EFDA"/>
        <bgColor rgb="FFD9EAD3"/>
      </patternFill>
    </fill>
    <fill>
      <patternFill patternType="solid">
        <fgColor rgb="FFFFF2CC"/>
        <bgColor rgb="FFFFF8E7"/>
      </patternFill>
    </fill>
    <fill>
      <patternFill patternType="solid">
        <fgColor rgb="FFFFD9D9"/>
        <bgColor rgb="FFE0E0E0"/>
      </patternFill>
    </fill>
    <fill>
      <patternFill patternType="solid">
        <fgColor rgb="FFFFF8E7"/>
        <bgColor rgb="FFFFFDF0"/>
      </patternFill>
    </fill>
    <fill>
      <patternFill patternType="solid">
        <fgColor rgb="FFEBEBEB"/>
        <bgColor rgb="FFF2F2F2"/>
      </patternFill>
    </fill>
    <fill>
      <patternFill patternType="solid">
        <fgColor rgb="FFBDD7EE"/>
        <bgColor rgb="FFE0E0E0"/>
      </patternFill>
    </fill>
    <fill>
      <patternFill patternType="solid">
        <fgColor rgb="FF2E75B6"/>
        <bgColor rgb="FF0066CC"/>
      </patternFill>
    </fill>
    <fill>
      <patternFill patternType="solid">
        <fgColor rgb="FFC55A11"/>
        <bgColor rgb="FF993300"/>
      </patternFill>
    </fill>
    <fill>
      <patternFill patternType="solid">
        <fgColor rgb="FFFFFDF0"/>
        <bgColor rgb="FFFFF8E7"/>
      </patternFill>
    </fill>
    <fill>
      <patternFill patternType="solid">
        <fgColor rgb="FF538135"/>
        <bgColor rgb="FF666666"/>
      </patternFill>
    </fill>
    <fill>
      <patternFill patternType="solid">
        <fgColor rgb="FFD9EAD3"/>
        <bgColor rgb="FFE2EFDA"/>
      </patternFill>
    </fill>
    <fill>
      <patternFill patternType="solid">
        <fgColor rgb="FFE0E0E0"/>
        <bgColor rgb="FFDEEAF1"/>
      </patternFill>
    </fill>
    <fill>
      <patternFill patternType="solid">
        <fgColor rgb="FFF2F2F2"/>
        <bgColor rgb="FFEBEBEB"/>
      </patternFill>
    </fill>
    <fill>
      <patternFill patternType="solid">
        <fgColor rgb="FF375623"/>
        <bgColor rgb="FF404040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8" fillId="18" borderId="0" xfId="0" applyFont="1" applyFill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15" fillId="10" borderId="0" xfId="0" applyFont="1" applyFill="1" applyAlignment="1">
      <alignment horizontal="left" vertical="center" wrapText="1"/>
    </xf>
    <xf numFmtId="0" fontId="2" fillId="11" borderId="4" xfId="0" applyFont="1" applyFill="1" applyBorder="1" applyAlignment="1">
      <alignment horizontal="left" vertical="center" wrapText="1"/>
    </xf>
    <xf numFmtId="0" fontId="13" fillId="10" borderId="3" xfId="0" applyFont="1" applyFill="1" applyBorder="1" applyAlignment="1">
      <alignment horizontal="center" vertical="center" wrapText="1"/>
    </xf>
    <xf numFmtId="0" fontId="2" fillId="14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2" fillId="12" borderId="0" xfId="0" applyFont="1" applyFill="1" applyAlignment="1">
      <alignment horizontal="left" vertical="center" wrapText="1"/>
    </xf>
    <xf numFmtId="0" fontId="2" fillId="11" borderId="0" xfId="0" applyFont="1" applyFill="1" applyAlignment="1">
      <alignment horizontal="left" vertical="center" wrapText="1"/>
    </xf>
    <xf numFmtId="0" fontId="8" fillId="0" borderId="0" xfId="0" applyFont="1"/>
    <xf numFmtId="0" fontId="5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/>
    <xf numFmtId="0" fontId="3" fillId="3" borderId="1" xfId="0" applyFont="1" applyFill="1" applyBorder="1"/>
    <xf numFmtId="3" fontId="3" fillId="3" borderId="1" xfId="0" applyNumberFormat="1" applyFont="1" applyFill="1" applyBorder="1"/>
    <xf numFmtId="14" fontId="3" fillId="4" borderId="1" xfId="0" applyNumberFormat="1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3" fontId="3" fillId="4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14" fontId="3" fillId="8" borderId="1" xfId="0" applyNumberFormat="1" applyFont="1" applyFill="1" applyBorder="1"/>
    <xf numFmtId="0" fontId="3" fillId="8" borderId="1" xfId="0" applyFont="1" applyFill="1" applyBorder="1"/>
    <xf numFmtId="3" fontId="3" fillId="8" borderId="1" xfId="0" applyNumberFormat="1" applyFont="1" applyFill="1" applyBorder="1"/>
    <xf numFmtId="14" fontId="4" fillId="9" borderId="1" xfId="0" applyNumberFormat="1" applyFont="1" applyFill="1" applyBorder="1"/>
    <xf numFmtId="0" fontId="4" fillId="9" borderId="1" xfId="0" applyFont="1" applyFill="1" applyBorder="1"/>
    <xf numFmtId="0" fontId="4" fillId="6" borderId="1" xfId="0" applyFont="1" applyFill="1" applyBorder="1"/>
    <xf numFmtId="3" fontId="4" fillId="9" borderId="1" xfId="0" applyNumberFormat="1" applyFont="1" applyFill="1" applyBorder="1"/>
    <xf numFmtId="0" fontId="6" fillId="10" borderId="0" xfId="0" applyFont="1" applyFill="1" applyAlignment="1">
      <alignment horizontal="right" vertical="center"/>
    </xf>
    <xf numFmtId="4" fontId="7" fillId="6" borderId="2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/>
    <xf numFmtId="165" fontId="3" fillId="3" borderId="1" xfId="0" applyNumberFormat="1" applyFont="1" applyFill="1" applyBorder="1"/>
    <xf numFmtId="164" fontId="3" fillId="4" borderId="1" xfId="0" applyNumberFormat="1" applyFont="1" applyFill="1" applyBorder="1"/>
    <xf numFmtId="165" fontId="3" fillId="4" borderId="1" xfId="0" applyNumberFormat="1" applyFont="1" applyFill="1" applyBorder="1"/>
    <xf numFmtId="164" fontId="3" fillId="8" borderId="1" xfId="0" applyNumberFormat="1" applyFont="1" applyFill="1" applyBorder="1"/>
    <xf numFmtId="165" fontId="3" fillId="8" borderId="1" xfId="0" applyNumberFormat="1" applyFont="1" applyFill="1" applyBorder="1"/>
    <xf numFmtId="14" fontId="3" fillId="13" borderId="1" xfId="0" applyNumberFormat="1" applyFont="1" applyFill="1" applyBorder="1"/>
    <xf numFmtId="0" fontId="3" fillId="13" borderId="1" xfId="0" applyFont="1" applyFill="1" applyBorder="1"/>
    <xf numFmtId="3" fontId="3" fillId="13" borderId="1" xfId="0" applyNumberFormat="1" applyFont="1" applyFill="1" applyBorder="1"/>
    <xf numFmtId="164" fontId="3" fillId="13" borderId="1" xfId="0" applyNumberFormat="1" applyFont="1" applyFill="1" applyBorder="1"/>
    <xf numFmtId="165" fontId="3" fillId="13" borderId="1" xfId="0" applyNumberFormat="1" applyFont="1" applyFill="1" applyBorder="1"/>
    <xf numFmtId="0" fontId="9" fillId="2" borderId="0" xfId="0" applyFont="1" applyFill="1" applyAlignment="1">
      <alignment horizontal="center" vertical="center" wrapText="1"/>
    </xf>
    <xf numFmtId="10" fontId="10" fillId="6" borderId="2" xfId="0" applyNumberFormat="1" applyFont="1" applyFill="1" applyBorder="1" applyAlignment="1">
      <alignment horizontal="center" vertical="center" wrapText="1"/>
    </xf>
    <xf numFmtId="0" fontId="11" fillId="0" borderId="0" xfId="0" applyFont="1"/>
    <xf numFmtId="14" fontId="3" fillId="9" borderId="1" xfId="0" applyNumberFormat="1" applyFont="1" applyFill="1" applyBorder="1"/>
    <xf numFmtId="0" fontId="3" fillId="9" borderId="1" xfId="0" applyFont="1" applyFill="1" applyBorder="1"/>
    <xf numFmtId="164" fontId="3" fillId="15" borderId="1" xfId="0" applyNumberFormat="1" applyFont="1" applyFill="1" applyBorder="1"/>
    <xf numFmtId="0" fontId="12" fillId="9" borderId="1" xfId="0" applyFont="1" applyFill="1" applyBorder="1"/>
    <xf numFmtId="14" fontId="3" fillId="16" borderId="1" xfId="0" applyNumberFormat="1" applyFont="1" applyFill="1" applyBorder="1"/>
    <xf numFmtId="0" fontId="3" fillId="16" borderId="1" xfId="0" applyFont="1" applyFill="1" applyBorder="1"/>
    <xf numFmtId="0" fontId="12" fillId="16" borderId="1" xfId="0" applyFont="1" applyFill="1" applyBorder="1"/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/>
    <xf numFmtId="0" fontId="3" fillId="5" borderId="1" xfId="0" applyFont="1" applyFill="1" applyBorder="1" applyAlignment="1">
      <alignment horizontal="center" vertical="center"/>
    </xf>
    <xf numFmtId="164" fontId="3" fillId="5" borderId="1" xfId="0" applyNumberFormat="1" applyFont="1" applyFill="1" applyBorder="1"/>
    <xf numFmtId="0" fontId="14" fillId="5" borderId="1" xfId="0" applyFont="1" applyFill="1" applyBorder="1"/>
    <xf numFmtId="164" fontId="14" fillId="5" borderId="1" xfId="0" applyNumberFormat="1" applyFont="1" applyFill="1" applyBorder="1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14" fillId="4" borderId="1" xfId="0" applyFont="1" applyFill="1" applyBorder="1"/>
    <xf numFmtId="164" fontId="14" fillId="4" borderId="1" xfId="0" applyNumberFormat="1" applyFont="1" applyFill="1" applyBorder="1"/>
    <xf numFmtId="3" fontId="3" fillId="0" borderId="1" xfId="0" applyNumberFormat="1" applyFont="1" applyBorder="1"/>
    <xf numFmtId="165" fontId="3" fillId="0" borderId="1" xfId="0" applyNumberFormat="1" applyFont="1" applyBorder="1"/>
    <xf numFmtId="164" fontId="4" fillId="15" borderId="1" xfId="0" applyNumberFormat="1" applyFont="1" applyFill="1" applyBorder="1"/>
    <xf numFmtId="14" fontId="4" fillId="16" borderId="1" xfId="0" applyNumberFormat="1" applyFont="1" applyFill="1" applyBorder="1"/>
    <xf numFmtId="0" fontId="4" fillId="16" borderId="1" xfId="0" applyFont="1" applyFill="1" applyBorder="1"/>
    <xf numFmtId="0" fontId="3" fillId="5" borderId="1" xfId="0" applyFont="1" applyFill="1" applyBorder="1" applyAlignment="1">
      <alignment horizontal="center" vertical="center" wrapText="1"/>
    </xf>
    <xf numFmtId="4" fontId="16" fillId="6" borderId="2" xfId="0" applyNumberFormat="1" applyFont="1" applyFill="1" applyBorder="1" applyAlignment="1">
      <alignment horizontal="center" vertical="center" wrapText="1"/>
    </xf>
    <xf numFmtId="0" fontId="17" fillId="0" borderId="0" xfId="0" applyFont="1"/>
    <xf numFmtId="0" fontId="19" fillId="17" borderId="1" xfId="0" applyFont="1" applyFill="1" applyBorder="1"/>
    <xf numFmtId="0" fontId="20" fillId="17" borderId="1" xfId="0" applyFont="1" applyFill="1" applyBorder="1"/>
    <xf numFmtId="164" fontId="3" fillId="17" borderId="1" xfId="0" applyNumberFormat="1" applyFont="1" applyFill="1" applyBorder="1"/>
    <xf numFmtId="0" fontId="19" fillId="4" borderId="1" xfId="0" applyFont="1" applyFill="1" applyBorder="1"/>
    <xf numFmtId="0" fontId="20" fillId="4" borderId="1" xfId="0" applyFont="1" applyFill="1" applyBorder="1"/>
    <xf numFmtId="10" fontId="3" fillId="6" borderId="1" xfId="0" applyNumberFormat="1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left" vertical="top" wrapText="1"/>
    </xf>
    <xf numFmtId="0" fontId="19" fillId="3" borderId="1" xfId="0" applyFont="1" applyFill="1" applyBorder="1" applyAlignment="1">
      <alignment horizontal="left" vertical="top" wrapText="1"/>
    </xf>
    <xf numFmtId="0" fontId="22" fillId="4" borderId="1" xfId="0" applyFont="1" applyFill="1" applyBorder="1" applyAlignment="1">
      <alignment horizontal="left" vertical="top" wrapText="1"/>
    </xf>
    <xf numFmtId="0" fontId="19" fillId="4" borderId="1" xfId="0" applyFont="1" applyFill="1" applyBorder="1" applyAlignment="1">
      <alignment horizontal="left" vertical="top" wrapText="1"/>
    </xf>
    <xf numFmtId="0" fontId="19" fillId="17" borderId="1" xfId="0" applyFont="1" applyFill="1" applyBorder="1" applyAlignment="1">
      <alignment horizontal="left" vertical="center" wrapText="1"/>
    </xf>
    <xf numFmtId="0" fontId="19" fillId="4" borderId="1" xfId="0" applyFont="1" applyFill="1" applyBorder="1" applyAlignment="1">
      <alignment horizontal="left" vertical="center" wrapText="1"/>
    </xf>
    <xf numFmtId="0" fontId="0" fillId="0" borderId="0" xfId="0"/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2" fillId="11" borderId="1" xfId="0" applyFont="1" applyFill="1" applyBorder="1" applyAlignment="1">
      <alignment horizontal="center" vertical="center" wrapText="1"/>
    </xf>
    <xf numFmtId="0" fontId="23" fillId="6" borderId="3" xfId="0" applyFont="1" applyFill="1" applyBorder="1" applyAlignment="1">
      <alignment horizontal="left" vertical="center" wrapText="1"/>
    </xf>
    <xf numFmtId="0" fontId="3" fillId="17" borderId="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DF0"/>
      <rgbColor rgb="FFFF00FF"/>
      <rgbColor rgb="FF00FFFF"/>
      <rgbColor rgb="FF800000"/>
      <rgbColor rgb="FF008000"/>
      <rgbColor rgb="FF000080"/>
      <rgbColor rgb="FF60606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9EAD3"/>
      <rgbColor rgb="FFFFF8E7"/>
      <rgbColor rgb="FFE0E0E0"/>
      <rgbColor rgb="FFEBEBEB"/>
      <rgbColor rgb="FFF2F2F2"/>
      <rgbColor rgb="FFFFD9D9"/>
      <rgbColor rgb="FF2E75B6"/>
      <rgbColor rgb="FF33CCCC"/>
      <rgbColor rgb="FF99CC00"/>
      <rgbColor rgb="FFFFCC00"/>
      <rgbColor rgb="FFFF9900"/>
      <rgbColor rgb="FFC55A11"/>
      <rgbColor rgb="FF666666"/>
      <rgbColor rgb="FF999999"/>
      <rgbColor rgb="FF1F3864"/>
      <rgbColor rgb="FF538135"/>
      <rgbColor rgb="FF003300"/>
      <rgbColor rgb="FF375623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"/>
  <sheetViews>
    <sheetView showGridLines="0" zoomScaleNormal="100" workbookViewId="0">
      <pane ySplit="2" topLeftCell="A86" activePane="bottomLeft" state="frozen"/>
      <selection pane="bottomLeft"/>
    </sheetView>
  </sheetViews>
  <sheetFormatPr defaultColWidth="8.6640625" defaultRowHeight="14.4" x14ac:dyDescent="0.3"/>
  <cols>
    <col min="1" max="1" width="13" customWidth="1"/>
    <col min="2" max="2" width="7" customWidth="1"/>
    <col min="3" max="3" width="13" customWidth="1"/>
    <col min="4" max="5" width="10" customWidth="1"/>
    <col min="6" max="6" width="12" customWidth="1"/>
    <col min="7" max="7" width="14" customWidth="1"/>
  </cols>
  <sheetData>
    <row r="1" spans="1:7" ht="27.75" customHeight="1" x14ac:dyDescent="0.3">
      <c r="A1" s="14" t="s">
        <v>0</v>
      </c>
      <c r="B1" s="14"/>
      <c r="C1" s="14"/>
      <c r="D1" s="14"/>
      <c r="E1" s="14"/>
      <c r="F1" s="14"/>
      <c r="G1" s="14"/>
    </row>
    <row r="2" spans="1:7" ht="27.75" customHeight="1" x14ac:dyDescent="0.3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</row>
    <row r="3" spans="1:7" ht="15" customHeight="1" x14ac:dyDescent="0.3">
      <c r="A3" s="16">
        <v>44470</v>
      </c>
      <c r="B3" s="17">
        <v>6</v>
      </c>
      <c r="C3" s="17" t="s">
        <v>8</v>
      </c>
      <c r="D3" s="17">
        <v>0</v>
      </c>
      <c r="E3" s="17">
        <v>0</v>
      </c>
      <c r="F3" s="17">
        <v>0</v>
      </c>
      <c r="G3" s="18">
        <v>2042</v>
      </c>
    </row>
    <row r="4" spans="1:7" ht="15" customHeight="1" x14ac:dyDescent="0.3">
      <c r="A4" s="19">
        <v>44471</v>
      </c>
      <c r="B4" s="20">
        <v>7</v>
      </c>
      <c r="C4" s="20" t="s">
        <v>9</v>
      </c>
      <c r="D4" s="20">
        <v>0</v>
      </c>
      <c r="E4" s="21">
        <v>1</v>
      </c>
      <c r="F4" s="20">
        <v>0</v>
      </c>
      <c r="G4" s="22">
        <v>4152</v>
      </c>
    </row>
    <row r="5" spans="1:7" ht="15" customHeight="1" x14ac:dyDescent="0.3">
      <c r="A5" s="16">
        <v>44472</v>
      </c>
      <c r="B5" s="17">
        <v>1</v>
      </c>
      <c r="C5" s="17" t="s">
        <v>10</v>
      </c>
      <c r="D5" s="17">
        <v>0</v>
      </c>
      <c r="E5" s="21">
        <v>1</v>
      </c>
      <c r="F5" s="17">
        <v>0</v>
      </c>
      <c r="G5" s="18">
        <v>4289</v>
      </c>
    </row>
    <row r="6" spans="1:7" ht="15" customHeight="1" x14ac:dyDescent="0.3">
      <c r="A6" s="19">
        <v>44473</v>
      </c>
      <c r="B6" s="20">
        <v>2</v>
      </c>
      <c r="C6" s="20" t="s">
        <v>11</v>
      </c>
      <c r="D6" s="20">
        <v>0</v>
      </c>
      <c r="E6" s="20">
        <v>0</v>
      </c>
      <c r="F6" s="20">
        <v>0</v>
      </c>
      <c r="G6" s="22">
        <v>2454</v>
      </c>
    </row>
    <row r="7" spans="1:7" ht="15" customHeight="1" x14ac:dyDescent="0.3">
      <c r="A7" s="16">
        <v>44474</v>
      </c>
      <c r="B7" s="17">
        <v>3</v>
      </c>
      <c r="C7" s="17" t="s">
        <v>12</v>
      </c>
      <c r="D7" s="17">
        <v>0</v>
      </c>
      <c r="E7" s="17">
        <v>0</v>
      </c>
      <c r="F7" s="17">
        <v>0</v>
      </c>
      <c r="G7" s="18">
        <v>2544</v>
      </c>
    </row>
    <row r="8" spans="1:7" ht="15" customHeight="1" x14ac:dyDescent="0.3">
      <c r="A8" s="19">
        <v>44475</v>
      </c>
      <c r="B8" s="20">
        <v>4</v>
      </c>
      <c r="C8" s="20" t="s">
        <v>13</v>
      </c>
      <c r="D8" s="20">
        <v>0</v>
      </c>
      <c r="E8" s="20">
        <v>0</v>
      </c>
      <c r="F8" s="20">
        <v>0</v>
      </c>
      <c r="G8" s="22">
        <v>2686</v>
      </c>
    </row>
    <row r="9" spans="1:7" ht="15" customHeight="1" x14ac:dyDescent="0.3">
      <c r="A9" s="16">
        <v>44476</v>
      </c>
      <c r="B9" s="17">
        <v>5</v>
      </c>
      <c r="C9" s="17" t="s">
        <v>14</v>
      </c>
      <c r="D9" s="17">
        <v>0</v>
      </c>
      <c r="E9" s="17">
        <v>0</v>
      </c>
      <c r="F9" s="17">
        <v>0</v>
      </c>
      <c r="G9" s="18">
        <v>2792</v>
      </c>
    </row>
    <row r="10" spans="1:7" ht="15" customHeight="1" x14ac:dyDescent="0.3">
      <c r="A10" s="19">
        <v>44477</v>
      </c>
      <c r="B10" s="20">
        <v>6</v>
      </c>
      <c r="C10" s="20" t="s">
        <v>8</v>
      </c>
      <c r="D10" s="20">
        <v>0</v>
      </c>
      <c r="E10" s="20">
        <v>0</v>
      </c>
      <c r="F10" s="20">
        <v>0</v>
      </c>
      <c r="G10" s="22">
        <v>2246</v>
      </c>
    </row>
    <row r="11" spans="1:7" ht="15" customHeight="1" x14ac:dyDescent="0.3">
      <c r="A11" s="16">
        <v>44478</v>
      </c>
      <c r="B11" s="17">
        <v>7</v>
      </c>
      <c r="C11" s="17" t="s">
        <v>9</v>
      </c>
      <c r="D11" s="17">
        <v>0</v>
      </c>
      <c r="E11" s="21">
        <v>1</v>
      </c>
      <c r="F11" s="17">
        <v>0</v>
      </c>
      <c r="G11" s="18">
        <v>4078</v>
      </c>
    </row>
    <row r="12" spans="1:7" ht="15" customHeight="1" x14ac:dyDescent="0.3">
      <c r="A12" s="19">
        <v>44479</v>
      </c>
      <c r="B12" s="20">
        <v>1</v>
      </c>
      <c r="C12" s="20" t="s">
        <v>10</v>
      </c>
      <c r="D12" s="20">
        <v>0</v>
      </c>
      <c r="E12" s="21">
        <v>1</v>
      </c>
      <c r="F12" s="20">
        <v>0</v>
      </c>
      <c r="G12" s="22">
        <v>3949</v>
      </c>
    </row>
    <row r="13" spans="1:7" ht="15" customHeight="1" x14ac:dyDescent="0.3">
      <c r="A13" s="16">
        <v>44480</v>
      </c>
      <c r="B13" s="17">
        <v>2</v>
      </c>
      <c r="C13" s="17" t="s">
        <v>11</v>
      </c>
      <c r="D13" s="17">
        <v>0</v>
      </c>
      <c r="E13" s="17">
        <v>0</v>
      </c>
      <c r="F13" s="17">
        <v>0</v>
      </c>
      <c r="G13" s="18">
        <v>2687</v>
      </c>
    </row>
    <row r="14" spans="1:7" ht="15" customHeight="1" x14ac:dyDescent="0.3">
      <c r="A14" s="19">
        <v>44481</v>
      </c>
      <c r="B14" s="20">
        <v>3</v>
      </c>
      <c r="C14" s="20" t="s">
        <v>12</v>
      </c>
      <c r="D14" s="20">
        <v>0</v>
      </c>
      <c r="E14" s="20">
        <v>0</v>
      </c>
      <c r="F14" s="20">
        <v>0</v>
      </c>
      <c r="G14" s="22">
        <v>2737</v>
      </c>
    </row>
    <row r="15" spans="1:7" ht="15" customHeight="1" x14ac:dyDescent="0.3">
      <c r="A15" s="16">
        <v>44482</v>
      </c>
      <c r="B15" s="17">
        <v>4</v>
      </c>
      <c r="C15" s="17" t="s">
        <v>13</v>
      </c>
      <c r="D15" s="17">
        <v>0</v>
      </c>
      <c r="E15" s="17">
        <v>0</v>
      </c>
      <c r="F15" s="23">
        <v>1</v>
      </c>
      <c r="G15" s="18">
        <v>5817</v>
      </c>
    </row>
    <row r="16" spans="1:7" ht="15" customHeight="1" x14ac:dyDescent="0.3">
      <c r="A16" s="19">
        <v>44483</v>
      </c>
      <c r="B16" s="20">
        <v>5</v>
      </c>
      <c r="C16" s="20" t="s">
        <v>14</v>
      </c>
      <c r="D16" s="20">
        <v>0</v>
      </c>
      <c r="E16" s="20">
        <v>0</v>
      </c>
      <c r="F16" s="20">
        <v>0</v>
      </c>
      <c r="G16" s="22">
        <v>2855</v>
      </c>
    </row>
    <row r="17" spans="1:7" ht="15" customHeight="1" x14ac:dyDescent="0.3">
      <c r="A17" s="16">
        <v>44484</v>
      </c>
      <c r="B17" s="17">
        <v>6</v>
      </c>
      <c r="C17" s="17" t="s">
        <v>8</v>
      </c>
      <c r="D17" s="17">
        <v>0</v>
      </c>
      <c r="E17" s="17">
        <v>0</v>
      </c>
      <c r="F17" s="17">
        <v>0</v>
      </c>
      <c r="G17" s="18">
        <v>2777</v>
      </c>
    </row>
    <row r="18" spans="1:7" ht="15" customHeight="1" x14ac:dyDescent="0.3">
      <c r="A18" s="19">
        <v>44485</v>
      </c>
      <c r="B18" s="20">
        <v>7</v>
      </c>
      <c r="C18" s="20" t="s">
        <v>9</v>
      </c>
      <c r="D18" s="20">
        <v>0</v>
      </c>
      <c r="E18" s="21">
        <v>1</v>
      </c>
      <c r="F18" s="20">
        <v>0</v>
      </c>
      <c r="G18" s="22">
        <v>3605</v>
      </c>
    </row>
    <row r="19" spans="1:7" ht="15" customHeight="1" x14ac:dyDescent="0.3">
      <c r="A19" s="16">
        <v>44486</v>
      </c>
      <c r="B19" s="17">
        <v>1</v>
      </c>
      <c r="C19" s="17" t="s">
        <v>10</v>
      </c>
      <c r="D19" s="17">
        <v>0</v>
      </c>
      <c r="E19" s="21">
        <v>1</v>
      </c>
      <c r="F19" s="17">
        <v>0</v>
      </c>
      <c r="G19" s="18">
        <v>2351</v>
      </c>
    </row>
    <row r="20" spans="1:7" ht="15" customHeight="1" x14ac:dyDescent="0.3">
      <c r="A20" s="19">
        <v>44487</v>
      </c>
      <c r="B20" s="20">
        <v>2</v>
      </c>
      <c r="C20" s="20" t="s">
        <v>11</v>
      </c>
      <c r="D20" s="20">
        <v>0</v>
      </c>
      <c r="E20" s="20">
        <v>0</v>
      </c>
      <c r="F20" s="20">
        <v>0</v>
      </c>
      <c r="G20" s="22">
        <v>2189</v>
      </c>
    </row>
    <row r="21" spans="1:7" ht="15" customHeight="1" x14ac:dyDescent="0.3">
      <c r="A21" s="16">
        <v>44488</v>
      </c>
      <c r="B21" s="17">
        <v>3</v>
      </c>
      <c r="C21" s="17" t="s">
        <v>12</v>
      </c>
      <c r="D21" s="17">
        <v>0</v>
      </c>
      <c r="E21" s="17">
        <v>0</v>
      </c>
      <c r="F21" s="17">
        <v>0</v>
      </c>
      <c r="G21" s="18">
        <v>2139</v>
      </c>
    </row>
    <row r="22" spans="1:7" ht="15" customHeight="1" x14ac:dyDescent="0.3">
      <c r="A22" s="19">
        <v>44489</v>
      </c>
      <c r="B22" s="20">
        <v>4</v>
      </c>
      <c r="C22" s="20" t="s">
        <v>13</v>
      </c>
      <c r="D22" s="20">
        <v>0</v>
      </c>
      <c r="E22" s="20">
        <v>0</v>
      </c>
      <c r="F22" s="20">
        <v>0</v>
      </c>
      <c r="G22" s="22">
        <v>2569</v>
      </c>
    </row>
    <row r="23" spans="1:7" ht="15" customHeight="1" x14ac:dyDescent="0.3">
      <c r="A23" s="16">
        <v>44490</v>
      </c>
      <c r="B23" s="17">
        <v>5</v>
      </c>
      <c r="C23" s="17" t="s">
        <v>14</v>
      </c>
      <c r="D23" s="17">
        <v>0</v>
      </c>
      <c r="E23" s="17">
        <v>0</v>
      </c>
      <c r="F23" s="17">
        <v>0</v>
      </c>
      <c r="G23" s="18">
        <v>2519</v>
      </c>
    </row>
    <row r="24" spans="1:7" ht="15" customHeight="1" x14ac:dyDescent="0.3">
      <c r="A24" s="19">
        <v>44491</v>
      </c>
      <c r="B24" s="20">
        <v>6</v>
      </c>
      <c r="C24" s="20" t="s">
        <v>8</v>
      </c>
      <c r="D24" s="20">
        <v>0</v>
      </c>
      <c r="E24" s="20">
        <v>0</v>
      </c>
      <c r="F24" s="20">
        <v>0</v>
      </c>
      <c r="G24" s="22">
        <v>2715</v>
      </c>
    </row>
    <row r="25" spans="1:7" ht="15" customHeight="1" x14ac:dyDescent="0.3">
      <c r="A25" s="16">
        <v>44492</v>
      </c>
      <c r="B25" s="17">
        <v>7</v>
      </c>
      <c r="C25" s="17" t="s">
        <v>9</v>
      </c>
      <c r="D25" s="17">
        <v>0</v>
      </c>
      <c r="E25" s="21">
        <v>1</v>
      </c>
      <c r="F25" s="17">
        <v>0</v>
      </c>
      <c r="G25" s="18">
        <v>2463</v>
      </c>
    </row>
    <row r="26" spans="1:7" ht="15" customHeight="1" x14ac:dyDescent="0.3">
      <c r="A26" s="19">
        <v>44493</v>
      </c>
      <c r="B26" s="20">
        <v>1</v>
      </c>
      <c r="C26" s="20" t="s">
        <v>10</v>
      </c>
      <c r="D26" s="20">
        <v>0</v>
      </c>
      <c r="E26" s="21">
        <v>1</v>
      </c>
      <c r="F26" s="20">
        <v>0</v>
      </c>
      <c r="G26" s="22">
        <v>5488</v>
      </c>
    </row>
    <row r="27" spans="1:7" ht="15" customHeight="1" x14ac:dyDescent="0.3">
      <c r="A27" s="16">
        <v>44494</v>
      </c>
      <c r="B27" s="17">
        <v>2</v>
      </c>
      <c r="C27" s="17" t="s">
        <v>11</v>
      </c>
      <c r="D27" s="24">
        <v>1</v>
      </c>
      <c r="E27" s="17">
        <v>0</v>
      </c>
      <c r="F27" s="17">
        <v>0</v>
      </c>
      <c r="G27" s="18">
        <v>2191</v>
      </c>
    </row>
    <row r="28" spans="1:7" ht="15" customHeight="1" x14ac:dyDescent="0.3">
      <c r="A28" s="19">
        <v>44495</v>
      </c>
      <c r="B28" s="20">
        <v>3</v>
      </c>
      <c r="C28" s="20" t="s">
        <v>12</v>
      </c>
      <c r="D28" s="24">
        <v>1</v>
      </c>
      <c r="E28" s="20">
        <v>0</v>
      </c>
      <c r="F28" s="20">
        <v>0</v>
      </c>
      <c r="G28" s="22">
        <v>1944</v>
      </c>
    </row>
    <row r="29" spans="1:7" ht="15" customHeight="1" x14ac:dyDescent="0.3">
      <c r="A29" s="16">
        <v>44496</v>
      </c>
      <c r="B29" s="17">
        <v>4</v>
      </c>
      <c r="C29" s="17" t="s">
        <v>13</v>
      </c>
      <c r="D29" s="24">
        <v>1</v>
      </c>
      <c r="E29" s="17">
        <v>0</v>
      </c>
      <c r="F29" s="17">
        <v>0</v>
      </c>
      <c r="G29" s="18">
        <v>2955</v>
      </c>
    </row>
    <row r="30" spans="1:7" ht="15" customHeight="1" x14ac:dyDescent="0.3">
      <c r="A30" s="19">
        <v>44497</v>
      </c>
      <c r="B30" s="20">
        <v>5</v>
      </c>
      <c r="C30" s="20" t="s">
        <v>14</v>
      </c>
      <c r="D30" s="24">
        <v>1</v>
      </c>
      <c r="E30" s="20">
        <v>0</v>
      </c>
      <c r="F30" s="23">
        <v>1</v>
      </c>
      <c r="G30" s="22">
        <v>4089</v>
      </c>
    </row>
    <row r="31" spans="1:7" ht="15" customHeight="1" x14ac:dyDescent="0.3">
      <c r="A31" s="16">
        <v>44498</v>
      </c>
      <c r="B31" s="17">
        <v>6</v>
      </c>
      <c r="C31" s="17" t="s">
        <v>8</v>
      </c>
      <c r="D31" s="24">
        <v>1</v>
      </c>
      <c r="E31" s="17">
        <v>0</v>
      </c>
      <c r="F31" s="17">
        <v>0</v>
      </c>
      <c r="G31" s="18">
        <v>2104</v>
      </c>
    </row>
    <row r="32" spans="1:7" ht="15" customHeight="1" x14ac:dyDescent="0.3">
      <c r="A32" s="19">
        <v>44499</v>
      </c>
      <c r="B32" s="20">
        <v>7</v>
      </c>
      <c r="C32" s="20" t="s">
        <v>9</v>
      </c>
      <c r="D32" s="24">
        <v>1</v>
      </c>
      <c r="E32" s="21">
        <v>1</v>
      </c>
      <c r="F32" s="20">
        <v>0</v>
      </c>
      <c r="G32" s="22">
        <v>4240</v>
      </c>
    </row>
    <row r="33" spans="1:7" ht="15" customHeight="1" x14ac:dyDescent="0.3">
      <c r="A33" s="16">
        <v>44500</v>
      </c>
      <c r="B33" s="17">
        <v>1</v>
      </c>
      <c r="C33" s="17" t="s">
        <v>10</v>
      </c>
      <c r="D33" s="24">
        <v>1</v>
      </c>
      <c r="E33" s="21">
        <v>1</v>
      </c>
      <c r="F33" s="17">
        <v>0</v>
      </c>
      <c r="G33" s="18">
        <v>2190</v>
      </c>
    </row>
    <row r="34" spans="1:7" ht="15" customHeight="1" x14ac:dyDescent="0.3">
      <c r="A34" s="19">
        <v>44501</v>
      </c>
      <c r="B34" s="20">
        <v>2</v>
      </c>
      <c r="C34" s="20" t="s">
        <v>11</v>
      </c>
      <c r="D34" s="24">
        <v>1</v>
      </c>
      <c r="E34" s="20">
        <v>0</v>
      </c>
      <c r="F34" s="20">
        <v>0</v>
      </c>
      <c r="G34" s="22">
        <v>1950</v>
      </c>
    </row>
    <row r="35" spans="1:7" ht="15" customHeight="1" x14ac:dyDescent="0.3">
      <c r="A35" s="16">
        <v>44502</v>
      </c>
      <c r="B35" s="17">
        <v>3</v>
      </c>
      <c r="C35" s="17" t="s">
        <v>12</v>
      </c>
      <c r="D35" s="24">
        <v>1</v>
      </c>
      <c r="E35" s="17">
        <v>0</v>
      </c>
      <c r="F35" s="17">
        <v>0</v>
      </c>
      <c r="G35" s="18">
        <v>1748</v>
      </c>
    </row>
    <row r="36" spans="1:7" ht="15" customHeight="1" x14ac:dyDescent="0.3">
      <c r="A36" s="19">
        <v>44503</v>
      </c>
      <c r="B36" s="20">
        <v>4</v>
      </c>
      <c r="C36" s="20" t="s">
        <v>13</v>
      </c>
      <c r="D36" s="24">
        <v>1</v>
      </c>
      <c r="E36" s="20">
        <v>0</v>
      </c>
      <c r="F36" s="20">
        <v>0</v>
      </c>
      <c r="G36" s="22">
        <v>2186</v>
      </c>
    </row>
    <row r="37" spans="1:7" ht="15" customHeight="1" x14ac:dyDescent="0.3">
      <c r="A37" s="16">
        <v>44504</v>
      </c>
      <c r="B37" s="17">
        <v>5</v>
      </c>
      <c r="C37" s="17" t="s">
        <v>14</v>
      </c>
      <c r="D37" s="24">
        <v>1</v>
      </c>
      <c r="E37" s="17">
        <v>0</v>
      </c>
      <c r="F37" s="17">
        <v>0</v>
      </c>
      <c r="G37" s="18">
        <v>1983</v>
      </c>
    </row>
    <row r="38" spans="1:7" ht="15" customHeight="1" x14ac:dyDescent="0.3">
      <c r="A38" s="19">
        <v>44505</v>
      </c>
      <c r="B38" s="20">
        <v>6</v>
      </c>
      <c r="C38" s="20" t="s">
        <v>8</v>
      </c>
      <c r="D38" s="24">
        <v>1</v>
      </c>
      <c r="E38" s="20">
        <v>0</v>
      </c>
      <c r="F38" s="20">
        <v>0</v>
      </c>
      <c r="G38" s="22">
        <v>2214</v>
      </c>
    </row>
    <row r="39" spans="1:7" ht="15" customHeight="1" x14ac:dyDescent="0.3">
      <c r="A39" s="16">
        <v>44506</v>
      </c>
      <c r="B39" s="17">
        <v>7</v>
      </c>
      <c r="C39" s="17" t="s">
        <v>9</v>
      </c>
      <c r="D39" s="24">
        <v>1</v>
      </c>
      <c r="E39" s="21">
        <v>1</v>
      </c>
      <c r="F39" s="17">
        <v>0</v>
      </c>
      <c r="G39" s="18">
        <v>4930</v>
      </c>
    </row>
    <row r="40" spans="1:7" ht="15" customHeight="1" x14ac:dyDescent="0.3">
      <c r="A40" s="19">
        <v>44507</v>
      </c>
      <c r="B40" s="20">
        <v>1</v>
      </c>
      <c r="C40" s="20" t="s">
        <v>10</v>
      </c>
      <c r="D40" s="24">
        <v>1</v>
      </c>
      <c r="E40" s="21">
        <v>1</v>
      </c>
      <c r="F40" s="20">
        <v>0</v>
      </c>
      <c r="G40" s="22">
        <v>2732</v>
      </c>
    </row>
    <row r="41" spans="1:7" ht="15" customHeight="1" x14ac:dyDescent="0.3">
      <c r="A41" s="16">
        <v>44508</v>
      </c>
      <c r="B41" s="17">
        <v>2</v>
      </c>
      <c r="C41" s="17" t="s">
        <v>11</v>
      </c>
      <c r="D41" s="17">
        <v>0</v>
      </c>
      <c r="E41" s="17">
        <v>0</v>
      </c>
      <c r="F41" s="17">
        <v>0</v>
      </c>
      <c r="G41" s="18">
        <v>2109</v>
      </c>
    </row>
    <row r="42" spans="1:7" ht="15" customHeight="1" x14ac:dyDescent="0.3">
      <c r="A42" s="19">
        <v>44509</v>
      </c>
      <c r="B42" s="20">
        <v>3</v>
      </c>
      <c r="C42" s="20" t="s">
        <v>12</v>
      </c>
      <c r="D42" s="20">
        <v>0</v>
      </c>
      <c r="E42" s="20">
        <v>0</v>
      </c>
      <c r="F42" s="23">
        <v>1</v>
      </c>
      <c r="G42" s="22">
        <v>6592</v>
      </c>
    </row>
    <row r="43" spans="1:7" ht="15" customHeight="1" x14ac:dyDescent="0.3">
      <c r="A43" s="16">
        <v>44510</v>
      </c>
      <c r="B43" s="17">
        <v>4</v>
      </c>
      <c r="C43" s="17" t="s">
        <v>13</v>
      </c>
      <c r="D43" s="17">
        <v>0</v>
      </c>
      <c r="E43" s="17">
        <v>0</v>
      </c>
      <c r="F43" s="17">
        <v>0</v>
      </c>
      <c r="G43" s="18">
        <v>2099</v>
      </c>
    </row>
    <row r="44" spans="1:7" ht="15" customHeight="1" x14ac:dyDescent="0.3">
      <c r="A44" s="19">
        <v>44511</v>
      </c>
      <c r="B44" s="20">
        <v>5</v>
      </c>
      <c r="C44" s="20" t="s">
        <v>14</v>
      </c>
      <c r="D44" s="20">
        <v>0</v>
      </c>
      <c r="E44" s="20">
        <v>0</v>
      </c>
      <c r="F44" s="20">
        <v>0</v>
      </c>
      <c r="G44" s="22">
        <v>2656</v>
      </c>
    </row>
    <row r="45" spans="1:7" ht="15" customHeight="1" x14ac:dyDescent="0.3">
      <c r="A45" s="16">
        <v>44512</v>
      </c>
      <c r="B45" s="17">
        <v>6</v>
      </c>
      <c r="C45" s="17" t="s">
        <v>8</v>
      </c>
      <c r="D45" s="17">
        <v>0</v>
      </c>
      <c r="E45" s="17">
        <v>0</v>
      </c>
      <c r="F45" s="17">
        <v>0</v>
      </c>
      <c r="G45" s="18">
        <v>2807</v>
      </c>
    </row>
    <row r="46" spans="1:7" ht="15" customHeight="1" x14ac:dyDescent="0.3">
      <c r="A46" s="19">
        <v>44513</v>
      </c>
      <c r="B46" s="20">
        <v>7</v>
      </c>
      <c r="C46" s="20" t="s">
        <v>9</v>
      </c>
      <c r="D46" s="20">
        <v>0</v>
      </c>
      <c r="E46" s="21">
        <v>1</v>
      </c>
      <c r="F46" s="20">
        <v>0</v>
      </c>
      <c r="G46" s="22">
        <v>3232</v>
      </c>
    </row>
    <row r="47" spans="1:7" ht="15" customHeight="1" x14ac:dyDescent="0.3">
      <c r="A47" s="16">
        <v>44514</v>
      </c>
      <c r="B47" s="17">
        <v>1</v>
      </c>
      <c r="C47" s="17" t="s">
        <v>10</v>
      </c>
      <c r="D47" s="17">
        <v>0</v>
      </c>
      <c r="E47" s="21">
        <v>1</v>
      </c>
      <c r="F47" s="17">
        <v>0</v>
      </c>
      <c r="G47" s="18">
        <v>5572</v>
      </c>
    </row>
    <row r="48" spans="1:7" ht="15" customHeight="1" x14ac:dyDescent="0.3">
      <c r="A48" s="19">
        <v>44515</v>
      </c>
      <c r="B48" s="20">
        <v>2</v>
      </c>
      <c r="C48" s="20" t="s">
        <v>11</v>
      </c>
      <c r="D48" s="20">
        <v>0</v>
      </c>
      <c r="E48" s="20">
        <v>0</v>
      </c>
      <c r="F48" s="20">
        <v>0</v>
      </c>
      <c r="G48" s="22">
        <v>2667</v>
      </c>
    </row>
    <row r="49" spans="1:7" ht="15" customHeight="1" x14ac:dyDescent="0.3">
      <c r="A49" s="16">
        <v>44516</v>
      </c>
      <c r="B49" s="17">
        <v>3</v>
      </c>
      <c r="C49" s="17" t="s">
        <v>12</v>
      </c>
      <c r="D49" s="17">
        <v>0</v>
      </c>
      <c r="E49" s="17">
        <v>0</v>
      </c>
      <c r="F49" s="17">
        <v>0</v>
      </c>
      <c r="G49" s="18">
        <v>2115</v>
      </c>
    </row>
    <row r="50" spans="1:7" ht="15" customHeight="1" x14ac:dyDescent="0.3">
      <c r="A50" s="19">
        <v>44517</v>
      </c>
      <c r="B50" s="20">
        <v>4</v>
      </c>
      <c r="C50" s="20" t="s">
        <v>13</v>
      </c>
      <c r="D50" s="20">
        <v>0</v>
      </c>
      <c r="E50" s="20">
        <v>0</v>
      </c>
      <c r="F50" s="20">
        <v>0</v>
      </c>
      <c r="G50" s="22">
        <v>2159</v>
      </c>
    </row>
    <row r="51" spans="1:7" ht="15" customHeight="1" x14ac:dyDescent="0.3">
      <c r="A51" s="16">
        <v>44518</v>
      </c>
      <c r="B51" s="17">
        <v>5</v>
      </c>
      <c r="C51" s="17" t="s">
        <v>14</v>
      </c>
      <c r="D51" s="17">
        <v>0</v>
      </c>
      <c r="E51" s="17">
        <v>0</v>
      </c>
      <c r="F51" s="17">
        <v>0</v>
      </c>
      <c r="G51" s="18">
        <v>2747</v>
      </c>
    </row>
    <row r="52" spans="1:7" ht="15" customHeight="1" x14ac:dyDescent="0.3">
      <c r="A52" s="19">
        <v>44519</v>
      </c>
      <c r="B52" s="20">
        <v>6</v>
      </c>
      <c r="C52" s="20" t="s">
        <v>8</v>
      </c>
      <c r="D52" s="20">
        <v>0</v>
      </c>
      <c r="E52" s="20">
        <v>0</v>
      </c>
      <c r="F52" s="20">
        <v>0</v>
      </c>
      <c r="G52" s="22">
        <v>2382</v>
      </c>
    </row>
    <row r="53" spans="1:7" ht="15" customHeight="1" x14ac:dyDescent="0.3">
      <c r="A53" s="16">
        <v>44520</v>
      </c>
      <c r="B53" s="17">
        <v>7</v>
      </c>
      <c r="C53" s="17" t="s">
        <v>9</v>
      </c>
      <c r="D53" s="17">
        <v>0</v>
      </c>
      <c r="E53" s="21">
        <v>1</v>
      </c>
      <c r="F53" s="17">
        <v>0</v>
      </c>
      <c r="G53" s="18">
        <v>2551</v>
      </c>
    </row>
    <row r="54" spans="1:7" ht="15" customHeight="1" x14ac:dyDescent="0.3">
      <c r="A54" s="19">
        <v>44521</v>
      </c>
      <c r="B54" s="20">
        <v>1</v>
      </c>
      <c r="C54" s="20" t="s">
        <v>10</v>
      </c>
      <c r="D54" s="20">
        <v>0</v>
      </c>
      <c r="E54" s="21">
        <v>1</v>
      </c>
      <c r="F54" s="20">
        <v>0</v>
      </c>
      <c r="G54" s="22">
        <v>3653</v>
      </c>
    </row>
    <row r="55" spans="1:7" ht="15" customHeight="1" x14ac:dyDescent="0.3">
      <c r="A55" s="16">
        <v>44522</v>
      </c>
      <c r="B55" s="17">
        <v>2</v>
      </c>
      <c r="C55" s="17" t="s">
        <v>11</v>
      </c>
      <c r="D55" s="17">
        <v>0</v>
      </c>
      <c r="E55" s="17">
        <v>0</v>
      </c>
      <c r="F55" s="17">
        <v>0</v>
      </c>
      <c r="G55" s="18">
        <v>2375</v>
      </c>
    </row>
    <row r="56" spans="1:7" ht="15" customHeight="1" x14ac:dyDescent="0.3">
      <c r="A56" s="19">
        <v>44523</v>
      </c>
      <c r="B56" s="20">
        <v>3</v>
      </c>
      <c r="C56" s="20" t="s">
        <v>12</v>
      </c>
      <c r="D56" s="20">
        <v>0</v>
      </c>
      <c r="E56" s="20">
        <v>0</v>
      </c>
      <c r="F56" s="20">
        <v>0</v>
      </c>
      <c r="G56" s="22">
        <v>2545</v>
      </c>
    </row>
    <row r="57" spans="1:7" ht="15" customHeight="1" x14ac:dyDescent="0.3">
      <c r="A57" s="16">
        <v>44524</v>
      </c>
      <c r="B57" s="17">
        <v>4</v>
      </c>
      <c r="C57" s="17" t="s">
        <v>13</v>
      </c>
      <c r="D57" s="17">
        <v>0</v>
      </c>
      <c r="E57" s="17">
        <v>0</v>
      </c>
      <c r="F57" s="17">
        <v>0</v>
      </c>
      <c r="G57" s="18">
        <v>2820</v>
      </c>
    </row>
    <row r="58" spans="1:7" ht="15" customHeight="1" x14ac:dyDescent="0.3">
      <c r="A58" s="19">
        <v>44525</v>
      </c>
      <c r="B58" s="20">
        <v>5</v>
      </c>
      <c r="C58" s="20" t="s">
        <v>14</v>
      </c>
      <c r="D58" s="20">
        <v>0</v>
      </c>
      <c r="E58" s="20">
        <v>0</v>
      </c>
      <c r="F58" s="20">
        <v>0</v>
      </c>
      <c r="G58" s="22">
        <v>2149</v>
      </c>
    </row>
    <row r="59" spans="1:7" ht="15" customHeight="1" x14ac:dyDescent="0.3">
      <c r="A59" s="16">
        <v>44526</v>
      </c>
      <c r="B59" s="17">
        <v>6</v>
      </c>
      <c r="C59" s="17" t="s">
        <v>8</v>
      </c>
      <c r="D59" s="17">
        <v>0</v>
      </c>
      <c r="E59" s="17">
        <v>0</v>
      </c>
      <c r="F59" s="17">
        <v>0</v>
      </c>
      <c r="G59" s="18">
        <v>2567</v>
      </c>
    </row>
    <row r="60" spans="1:7" ht="15" customHeight="1" x14ac:dyDescent="0.3">
      <c r="A60" s="19">
        <v>44527</v>
      </c>
      <c r="B60" s="20">
        <v>7</v>
      </c>
      <c r="C60" s="20" t="s">
        <v>9</v>
      </c>
      <c r="D60" s="20">
        <v>0</v>
      </c>
      <c r="E60" s="21">
        <v>1</v>
      </c>
      <c r="F60" s="20">
        <v>0</v>
      </c>
      <c r="G60" s="22">
        <v>3779</v>
      </c>
    </row>
    <row r="61" spans="1:7" ht="15" customHeight="1" x14ac:dyDescent="0.3">
      <c r="A61" s="16">
        <v>44528</v>
      </c>
      <c r="B61" s="17">
        <v>1</v>
      </c>
      <c r="C61" s="17" t="s">
        <v>10</v>
      </c>
      <c r="D61" s="17">
        <v>0</v>
      </c>
      <c r="E61" s="21">
        <v>1</v>
      </c>
      <c r="F61" s="17">
        <v>0</v>
      </c>
      <c r="G61" s="18">
        <v>2933</v>
      </c>
    </row>
    <row r="62" spans="1:7" ht="15" customHeight="1" x14ac:dyDescent="0.3">
      <c r="A62" s="25">
        <v>44529</v>
      </c>
      <c r="B62" s="26">
        <v>2</v>
      </c>
      <c r="C62" s="26" t="s">
        <v>11</v>
      </c>
      <c r="D62" s="26">
        <v>0</v>
      </c>
      <c r="E62" s="26">
        <v>0</v>
      </c>
      <c r="F62" s="26">
        <v>0</v>
      </c>
      <c r="G62" s="27">
        <v>2763</v>
      </c>
    </row>
    <row r="63" spans="1:7" ht="15" customHeight="1" x14ac:dyDescent="0.3">
      <c r="A63" s="25">
        <v>44530</v>
      </c>
      <c r="B63" s="26">
        <v>3</v>
      </c>
      <c r="C63" s="26" t="s">
        <v>12</v>
      </c>
      <c r="D63" s="26">
        <v>0</v>
      </c>
      <c r="E63" s="26">
        <v>0</v>
      </c>
      <c r="F63" s="26">
        <v>0</v>
      </c>
      <c r="G63" s="27">
        <v>2789</v>
      </c>
    </row>
    <row r="64" spans="1:7" ht="15" customHeight="1" x14ac:dyDescent="0.3">
      <c r="A64" s="25">
        <v>44531</v>
      </c>
      <c r="B64" s="26">
        <v>4</v>
      </c>
      <c r="C64" s="26" t="s">
        <v>13</v>
      </c>
      <c r="D64" s="26">
        <v>0</v>
      </c>
      <c r="E64" s="26">
        <v>0</v>
      </c>
      <c r="F64" s="26">
        <v>0</v>
      </c>
      <c r="G64" s="27">
        <v>2400</v>
      </c>
    </row>
    <row r="65" spans="1:7" ht="15" customHeight="1" x14ac:dyDescent="0.3">
      <c r="A65" s="25">
        <v>44532</v>
      </c>
      <c r="B65" s="26">
        <v>5</v>
      </c>
      <c r="C65" s="26" t="s">
        <v>14</v>
      </c>
      <c r="D65" s="26">
        <v>0</v>
      </c>
      <c r="E65" s="26">
        <v>0</v>
      </c>
      <c r="F65" s="26">
        <v>0</v>
      </c>
      <c r="G65" s="27">
        <v>2394</v>
      </c>
    </row>
    <row r="66" spans="1:7" ht="15" customHeight="1" x14ac:dyDescent="0.3">
      <c r="A66" s="25">
        <v>44533</v>
      </c>
      <c r="B66" s="26">
        <v>6</v>
      </c>
      <c r="C66" s="26" t="s">
        <v>8</v>
      </c>
      <c r="D66" s="26">
        <v>0</v>
      </c>
      <c r="E66" s="26">
        <v>0</v>
      </c>
      <c r="F66" s="23">
        <v>1</v>
      </c>
      <c r="G66" s="27">
        <v>4678</v>
      </c>
    </row>
    <row r="67" spans="1:7" ht="15" customHeight="1" x14ac:dyDescent="0.3">
      <c r="A67" s="25">
        <v>44534</v>
      </c>
      <c r="B67" s="26">
        <v>7</v>
      </c>
      <c r="C67" s="26" t="s">
        <v>9</v>
      </c>
      <c r="D67" s="26">
        <v>0</v>
      </c>
      <c r="E67" s="26">
        <v>1</v>
      </c>
      <c r="F67" s="26">
        <v>0</v>
      </c>
      <c r="G67" s="27">
        <v>3483</v>
      </c>
    </row>
    <row r="68" spans="1:7" ht="15" customHeight="1" x14ac:dyDescent="0.3">
      <c r="A68" s="25">
        <v>44535</v>
      </c>
      <c r="B68" s="26">
        <v>1</v>
      </c>
      <c r="C68" s="26" t="s">
        <v>10</v>
      </c>
      <c r="D68" s="26">
        <v>0</v>
      </c>
      <c r="E68" s="26">
        <v>1</v>
      </c>
      <c r="F68" s="26">
        <v>0</v>
      </c>
      <c r="G68" s="27">
        <v>3349</v>
      </c>
    </row>
    <row r="69" spans="1:7" ht="15" customHeight="1" x14ac:dyDescent="0.3">
      <c r="A69" s="25">
        <v>44536</v>
      </c>
      <c r="B69" s="26">
        <v>2</v>
      </c>
      <c r="C69" s="26" t="s">
        <v>11</v>
      </c>
      <c r="D69" s="26">
        <v>0</v>
      </c>
      <c r="E69" s="26">
        <v>0</v>
      </c>
      <c r="F69" s="26">
        <v>0</v>
      </c>
      <c r="G69" s="27">
        <v>2394</v>
      </c>
    </row>
    <row r="70" spans="1:7" ht="15" customHeight="1" x14ac:dyDescent="0.3">
      <c r="A70" s="25">
        <v>44537</v>
      </c>
      <c r="B70" s="26">
        <v>3</v>
      </c>
      <c r="C70" s="26" t="s">
        <v>12</v>
      </c>
      <c r="D70" s="26">
        <v>0</v>
      </c>
      <c r="E70" s="26">
        <v>0</v>
      </c>
      <c r="F70" s="26">
        <v>0</v>
      </c>
      <c r="G70" s="27">
        <v>2567</v>
      </c>
    </row>
    <row r="71" spans="1:7" ht="15" customHeight="1" x14ac:dyDescent="0.3">
      <c r="A71" s="25">
        <v>44538</v>
      </c>
      <c r="B71" s="26">
        <v>4</v>
      </c>
      <c r="C71" s="26" t="s">
        <v>13</v>
      </c>
      <c r="D71" s="26">
        <v>0</v>
      </c>
      <c r="E71" s="26">
        <v>0</v>
      </c>
      <c r="F71" s="26">
        <v>0</v>
      </c>
      <c r="G71" s="27">
        <v>2789</v>
      </c>
    </row>
    <row r="72" spans="1:7" ht="15" customHeight="1" x14ac:dyDescent="0.3">
      <c r="A72" s="25">
        <v>44539</v>
      </c>
      <c r="B72" s="26">
        <v>5</v>
      </c>
      <c r="C72" s="26" t="s">
        <v>14</v>
      </c>
      <c r="D72" s="26">
        <v>0</v>
      </c>
      <c r="E72" s="26">
        <v>0</v>
      </c>
      <c r="F72" s="26">
        <v>0</v>
      </c>
      <c r="G72" s="27">
        <v>2349</v>
      </c>
    </row>
    <row r="73" spans="1:7" ht="15" customHeight="1" x14ac:dyDescent="0.3">
      <c r="A73" s="25">
        <v>44540</v>
      </c>
      <c r="B73" s="26">
        <v>6</v>
      </c>
      <c r="C73" s="26" t="s">
        <v>8</v>
      </c>
      <c r="D73" s="26">
        <v>0</v>
      </c>
      <c r="E73" s="26">
        <v>0</v>
      </c>
      <c r="F73" s="26">
        <v>0</v>
      </c>
      <c r="G73" s="27">
        <v>3199</v>
      </c>
    </row>
    <row r="74" spans="1:7" ht="15" customHeight="1" x14ac:dyDescent="0.3">
      <c r="A74" s="25">
        <v>44541</v>
      </c>
      <c r="B74" s="26">
        <v>7</v>
      </c>
      <c r="C74" s="26" t="s">
        <v>9</v>
      </c>
      <c r="D74" s="26">
        <v>0</v>
      </c>
      <c r="E74" s="26">
        <v>1</v>
      </c>
      <c r="F74" s="26">
        <v>0</v>
      </c>
      <c r="G74" s="27">
        <v>3298</v>
      </c>
    </row>
    <row r="75" spans="1:7" ht="15" customHeight="1" x14ac:dyDescent="0.3">
      <c r="A75" s="25">
        <v>44542</v>
      </c>
      <c r="B75" s="26">
        <v>1</v>
      </c>
      <c r="C75" s="26" t="s">
        <v>10</v>
      </c>
      <c r="D75" s="26">
        <v>0</v>
      </c>
      <c r="E75" s="26">
        <v>1</v>
      </c>
      <c r="F75" s="26">
        <v>0</v>
      </c>
      <c r="G75" s="27">
        <v>3879</v>
      </c>
    </row>
    <row r="76" spans="1:7" ht="15" customHeight="1" x14ac:dyDescent="0.3">
      <c r="A76" s="25">
        <v>44543</v>
      </c>
      <c r="B76" s="26">
        <v>2</v>
      </c>
      <c r="C76" s="26" t="s">
        <v>11</v>
      </c>
      <c r="D76" s="26">
        <v>0</v>
      </c>
      <c r="E76" s="26">
        <v>0</v>
      </c>
      <c r="F76" s="26">
        <v>0</v>
      </c>
      <c r="G76" s="27">
        <v>2394</v>
      </c>
    </row>
    <row r="77" spans="1:7" ht="15" customHeight="1" x14ac:dyDescent="0.3">
      <c r="A77" s="28">
        <v>44544</v>
      </c>
      <c r="B77" s="29">
        <v>3</v>
      </c>
      <c r="C77" s="29" t="s">
        <v>12</v>
      </c>
      <c r="D77" s="29">
        <v>0</v>
      </c>
      <c r="E77" s="29">
        <v>0</v>
      </c>
      <c r="F77" s="30">
        <v>0</v>
      </c>
      <c r="G77" s="31" t="s">
        <v>15</v>
      </c>
    </row>
    <row r="78" spans="1:7" ht="15" customHeight="1" x14ac:dyDescent="0.3">
      <c r="A78" s="28">
        <v>44545</v>
      </c>
      <c r="B78" s="29">
        <v>4</v>
      </c>
      <c r="C78" s="29" t="s">
        <v>13</v>
      </c>
      <c r="D78" s="29">
        <v>0</v>
      </c>
      <c r="E78" s="29">
        <v>0</v>
      </c>
      <c r="F78" s="29">
        <v>0</v>
      </c>
      <c r="G78" s="29" t="s">
        <v>15</v>
      </c>
    </row>
    <row r="79" spans="1:7" ht="15" customHeight="1" x14ac:dyDescent="0.3">
      <c r="A79" s="28">
        <v>44546</v>
      </c>
      <c r="B79" s="29">
        <v>5</v>
      </c>
      <c r="C79" s="29" t="s">
        <v>14</v>
      </c>
      <c r="D79" s="29">
        <v>0</v>
      </c>
      <c r="E79" s="29">
        <v>0</v>
      </c>
      <c r="F79" s="29">
        <v>0</v>
      </c>
      <c r="G79" s="29" t="s">
        <v>15</v>
      </c>
    </row>
    <row r="80" spans="1:7" ht="15" customHeight="1" x14ac:dyDescent="0.3">
      <c r="A80" s="28">
        <v>44547</v>
      </c>
      <c r="B80" s="29">
        <v>6</v>
      </c>
      <c r="C80" s="29" t="s">
        <v>8</v>
      </c>
      <c r="D80" s="29">
        <v>0</v>
      </c>
      <c r="E80" s="29">
        <v>0</v>
      </c>
      <c r="F80" s="29">
        <v>0</v>
      </c>
      <c r="G80" s="29" t="s">
        <v>15</v>
      </c>
    </row>
    <row r="81" spans="1:7" ht="15" customHeight="1" x14ac:dyDescent="0.3">
      <c r="A81" s="28">
        <v>44548</v>
      </c>
      <c r="B81" s="29">
        <v>7</v>
      </c>
      <c r="C81" s="29" t="s">
        <v>9</v>
      </c>
      <c r="D81" s="29">
        <v>1</v>
      </c>
      <c r="E81" s="29">
        <v>1</v>
      </c>
      <c r="F81" s="29">
        <v>0</v>
      </c>
      <c r="G81" s="29" t="s">
        <v>15</v>
      </c>
    </row>
    <row r="82" spans="1:7" ht="15" customHeight="1" x14ac:dyDescent="0.3">
      <c r="A82" s="28">
        <v>44549</v>
      </c>
      <c r="B82" s="29">
        <v>1</v>
      </c>
      <c r="C82" s="29" t="s">
        <v>10</v>
      </c>
      <c r="D82" s="29">
        <v>1</v>
      </c>
      <c r="E82" s="29">
        <v>1</v>
      </c>
      <c r="F82" s="29">
        <v>0</v>
      </c>
      <c r="G82" s="29" t="s">
        <v>15</v>
      </c>
    </row>
    <row r="83" spans="1:7" ht="15" customHeight="1" x14ac:dyDescent="0.3">
      <c r="A83" s="28">
        <v>44550</v>
      </c>
      <c r="B83" s="29">
        <v>2</v>
      </c>
      <c r="C83" s="29" t="s">
        <v>11</v>
      </c>
      <c r="D83" s="29">
        <v>1</v>
      </c>
      <c r="E83" s="29">
        <v>0</v>
      </c>
      <c r="F83" s="29">
        <v>0</v>
      </c>
      <c r="G83" s="29" t="s">
        <v>15</v>
      </c>
    </row>
    <row r="84" spans="1:7" ht="15" customHeight="1" x14ac:dyDescent="0.3">
      <c r="A84" s="28">
        <v>44551</v>
      </c>
      <c r="B84" s="29">
        <v>3</v>
      </c>
      <c r="C84" s="29" t="s">
        <v>12</v>
      </c>
      <c r="D84" s="29">
        <v>1</v>
      </c>
      <c r="E84" s="29">
        <v>0</v>
      </c>
      <c r="F84" s="30">
        <v>1</v>
      </c>
      <c r="G84" s="29" t="s">
        <v>15</v>
      </c>
    </row>
    <row r="85" spans="1:7" ht="15" customHeight="1" x14ac:dyDescent="0.3">
      <c r="A85" s="28">
        <v>44552</v>
      </c>
      <c r="B85" s="29">
        <v>4</v>
      </c>
      <c r="C85" s="29" t="s">
        <v>13</v>
      </c>
      <c r="D85" s="29">
        <v>1</v>
      </c>
      <c r="E85" s="29">
        <v>0</v>
      </c>
      <c r="F85" s="29">
        <v>0</v>
      </c>
      <c r="G85" s="29" t="s">
        <v>15</v>
      </c>
    </row>
    <row r="86" spans="1:7" ht="15" customHeight="1" x14ac:dyDescent="0.3">
      <c r="A86" s="28">
        <v>44553</v>
      </c>
      <c r="B86" s="29">
        <v>5</v>
      </c>
      <c r="C86" s="29" t="s">
        <v>14</v>
      </c>
      <c r="D86" s="29">
        <v>1</v>
      </c>
      <c r="E86" s="29">
        <v>0</v>
      </c>
      <c r="F86" s="29">
        <v>0</v>
      </c>
      <c r="G86" s="29" t="s">
        <v>15</v>
      </c>
    </row>
    <row r="87" spans="1:7" ht="15" customHeight="1" x14ac:dyDescent="0.3">
      <c r="A87" s="28">
        <v>44554</v>
      </c>
      <c r="B87" s="29">
        <v>6</v>
      </c>
      <c r="C87" s="29" t="s">
        <v>8</v>
      </c>
      <c r="D87" s="29">
        <v>1</v>
      </c>
      <c r="E87" s="29">
        <v>0</v>
      </c>
      <c r="F87" s="29">
        <v>0</v>
      </c>
      <c r="G87" s="29" t="s">
        <v>15</v>
      </c>
    </row>
    <row r="88" spans="1:7" ht="15" customHeight="1" x14ac:dyDescent="0.3">
      <c r="A88" s="28">
        <v>44555</v>
      </c>
      <c r="B88" s="29">
        <v>7</v>
      </c>
      <c r="C88" s="29" t="s">
        <v>9</v>
      </c>
      <c r="D88" s="29">
        <v>1</v>
      </c>
      <c r="E88" s="29">
        <v>1</v>
      </c>
      <c r="F88" s="29">
        <v>0</v>
      </c>
      <c r="G88" s="29" t="s">
        <v>15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6"/>
  <sheetViews>
    <sheetView showGridLines="0" tabSelected="1" zoomScaleNormal="100" workbookViewId="0">
      <pane ySplit="4" topLeftCell="A80" activePane="bottomLeft" state="frozen"/>
      <selection pane="bottomLeft" activeCell="I86" sqref="I86"/>
    </sheetView>
  </sheetViews>
  <sheetFormatPr defaultColWidth="8.6640625" defaultRowHeight="14.4" x14ac:dyDescent="0.3"/>
  <cols>
    <col min="1" max="1" width="17.44140625" bestFit="1" customWidth="1"/>
    <col min="2" max="2" width="9.6640625" bestFit="1" customWidth="1"/>
    <col min="3" max="3" width="13" customWidth="1"/>
    <col min="4" max="5" width="10" customWidth="1"/>
    <col min="6" max="7" width="12" customWidth="1"/>
    <col min="8" max="9" width="14" customWidth="1"/>
    <col min="10" max="10" width="16" customWidth="1"/>
  </cols>
  <sheetData>
    <row r="1" spans="1:10" ht="25.5" customHeight="1" x14ac:dyDescent="0.3">
      <c r="A1" s="14" t="s">
        <v>16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24" customHeight="1" x14ac:dyDescent="0.3">
      <c r="A2" s="13" t="s">
        <v>17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21.75" customHeight="1" x14ac:dyDescent="0.3">
      <c r="A3" s="32" t="s">
        <v>18</v>
      </c>
      <c r="B3" s="33">
        <f>AVERAGE('Raw Data'!G3:G61)</f>
        <v>2950.9830508474574</v>
      </c>
      <c r="C3" s="12" t="s">
        <v>19</v>
      </c>
      <c r="D3" s="12"/>
      <c r="E3" s="12"/>
      <c r="F3" s="12"/>
      <c r="G3" s="12"/>
      <c r="H3" s="12"/>
      <c r="I3" s="12"/>
      <c r="J3" s="12"/>
    </row>
    <row r="4" spans="1:10" ht="27.75" customHeight="1" x14ac:dyDescent="0.3">
      <c r="A4" s="15" t="s">
        <v>1</v>
      </c>
      <c r="B4" s="15" t="s">
        <v>2</v>
      </c>
      <c r="C4" s="15" t="s">
        <v>3</v>
      </c>
      <c r="D4" s="15" t="s">
        <v>4</v>
      </c>
      <c r="E4" s="15" t="s">
        <v>5</v>
      </c>
      <c r="F4" s="15" t="s">
        <v>6</v>
      </c>
      <c r="G4" s="15" t="s">
        <v>20</v>
      </c>
      <c r="H4" s="15" t="s">
        <v>21</v>
      </c>
      <c r="I4" s="15" t="s">
        <v>22</v>
      </c>
      <c r="J4" s="15" t="s">
        <v>23</v>
      </c>
    </row>
    <row r="5" spans="1:10" ht="15" customHeight="1" x14ac:dyDescent="0.3">
      <c r="A5" s="11" t="s">
        <v>24</v>
      </c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3">
      <c r="A6" s="16">
        <f>'Raw Data'!A4</f>
        <v>44471</v>
      </c>
      <c r="B6" s="17">
        <f>'Raw Data'!B4</f>
        <v>7</v>
      </c>
      <c r="C6" s="17" t="str">
        <f>'Raw Data'!C4</f>
        <v>Sunday</v>
      </c>
      <c r="D6" s="17">
        <f>'Raw Data'!D4</f>
        <v>0</v>
      </c>
      <c r="E6" s="17">
        <f>'Raw Data'!E4</f>
        <v>1</v>
      </c>
      <c r="F6" s="17">
        <f>'Raw Data'!F4</f>
        <v>0</v>
      </c>
      <c r="G6" s="18">
        <f>'Raw Data'!G3</f>
        <v>2042</v>
      </c>
      <c r="H6" s="34">
        <f t="shared" ref="H6:H37" si="0">$B$3</f>
        <v>2950.9830508474574</v>
      </c>
      <c r="I6" s="18">
        <f t="shared" ref="I6:I39" si="1">G6-H6</f>
        <v>-908.98305084745743</v>
      </c>
      <c r="J6" s="35">
        <f t="shared" ref="J6:J39" si="2">ABS((G6-H6)/G6)</f>
        <v>0.4451435116784806</v>
      </c>
    </row>
    <row r="7" spans="1:10" ht="15" customHeight="1" x14ac:dyDescent="0.3">
      <c r="A7" s="19">
        <f>'Raw Data'!A5</f>
        <v>44472</v>
      </c>
      <c r="B7" s="20">
        <f>'Raw Data'!B5</f>
        <v>1</v>
      </c>
      <c r="C7" s="20" t="str">
        <f>'Raw Data'!C5</f>
        <v>Monday</v>
      </c>
      <c r="D7" s="20">
        <f>'Raw Data'!D5</f>
        <v>0</v>
      </c>
      <c r="E7" s="20">
        <f>'Raw Data'!E5</f>
        <v>1</v>
      </c>
      <c r="F7" s="20">
        <f>'Raw Data'!F5</f>
        <v>0</v>
      </c>
      <c r="G7" s="22">
        <f>'Raw Data'!G5</f>
        <v>4289</v>
      </c>
      <c r="H7" s="36">
        <f t="shared" si="0"/>
        <v>2950.9830508474574</v>
      </c>
      <c r="I7" s="22">
        <f t="shared" si="1"/>
        <v>1338.0169491525426</v>
      </c>
      <c r="J7" s="37">
        <f t="shared" si="2"/>
        <v>0.31196478180287773</v>
      </c>
    </row>
    <row r="8" spans="1:10" ht="15" customHeight="1" x14ac:dyDescent="0.3">
      <c r="A8" s="16">
        <f>'Raw Data'!A6</f>
        <v>44473</v>
      </c>
      <c r="B8" s="17">
        <f>'Raw Data'!B6</f>
        <v>2</v>
      </c>
      <c r="C8" s="17" t="str">
        <f>'Raw Data'!C6</f>
        <v>Tuesday</v>
      </c>
      <c r="D8" s="17">
        <f>'Raw Data'!D6</f>
        <v>0</v>
      </c>
      <c r="E8" s="17">
        <f>'Raw Data'!E6</f>
        <v>0</v>
      </c>
      <c r="F8" s="17">
        <f>'Raw Data'!F6</f>
        <v>0</v>
      </c>
      <c r="G8" s="18">
        <f>'Raw Data'!G6</f>
        <v>2454</v>
      </c>
      <c r="H8" s="34">
        <f t="shared" si="0"/>
        <v>2950.9830508474574</v>
      </c>
      <c r="I8" s="18">
        <f t="shared" si="1"/>
        <v>-496.98305084745743</v>
      </c>
      <c r="J8" s="35">
        <f t="shared" si="2"/>
        <v>0.2025195806224358</v>
      </c>
    </row>
    <row r="9" spans="1:10" ht="15" customHeight="1" x14ac:dyDescent="0.3">
      <c r="A9" s="19">
        <f>'Raw Data'!A7</f>
        <v>44474</v>
      </c>
      <c r="B9" s="20">
        <f>'Raw Data'!B7</f>
        <v>3</v>
      </c>
      <c r="C9" s="20" t="str">
        <f>'Raw Data'!C7</f>
        <v>Wednesday</v>
      </c>
      <c r="D9" s="20">
        <f>'Raw Data'!D7</f>
        <v>0</v>
      </c>
      <c r="E9" s="20">
        <f>'Raw Data'!E7</f>
        <v>0</v>
      </c>
      <c r="F9" s="20">
        <f>'Raw Data'!F7</f>
        <v>0</v>
      </c>
      <c r="G9" s="22">
        <f>'Raw Data'!G7</f>
        <v>2544</v>
      </c>
      <c r="H9" s="36">
        <f t="shared" si="0"/>
        <v>2950.9830508474574</v>
      </c>
      <c r="I9" s="22">
        <f t="shared" si="1"/>
        <v>-406.98305084745743</v>
      </c>
      <c r="J9" s="37">
        <f t="shared" si="2"/>
        <v>0.15997761432683075</v>
      </c>
    </row>
    <row r="10" spans="1:10" ht="15" customHeight="1" x14ac:dyDescent="0.3">
      <c r="A10" s="16">
        <f>'Raw Data'!A8</f>
        <v>44475</v>
      </c>
      <c r="B10" s="17">
        <f>'Raw Data'!B8</f>
        <v>4</v>
      </c>
      <c r="C10" s="17" t="str">
        <f>'Raw Data'!C8</f>
        <v>Thursday</v>
      </c>
      <c r="D10" s="17">
        <f>'Raw Data'!D8</f>
        <v>0</v>
      </c>
      <c r="E10" s="17">
        <f>'Raw Data'!E8</f>
        <v>0</v>
      </c>
      <c r="F10" s="17">
        <f>'Raw Data'!F8</f>
        <v>0</v>
      </c>
      <c r="G10" s="18">
        <f>'Raw Data'!G8</f>
        <v>2686</v>
      </c>
      <c r="H10" s="34">
        <f t="shared" si="0"/>
        <v>2950.9830508474574</v>
      </c>
      <c r="I10" s="18">
        <f t="shared" si="1"/>
        <v>-264.98305084745743</v>
      </c>
      <c r="J10" s="35">
        <f t="shared" si="2"/>
        <v>9.8653406868003515E-2</v>
      </c>
    </row>
    <row r="11" spans="1:10" ht="15" customHeight="1" x14ac:dyDescent="0.3">
      <c r="A11" s="19">
        <f>'Raw Data'!A9</f>
        <v>44476</v>
      </c>
      <c r="B11" s="20">
        <f>'Raw Data'!B9</f>
        <v>5</v>
      </c>
      <c r="C11" s="20" t="str">
        <f>'Raw Data'!C9</f>
        <v>Friday</v>
      </c>
      <c r="D11" s="20">
        <f>'Raw Data'!D9</f>
        <v>0</v>
      </c>
      <c r="E11" s="20">
        <f>'Raw Data'!E9</f>
        <v>0</v>
      </c>
      <c r="F11" s="20">
        <f>'Raw Data'!F9</f>
        <v>0</v>
      </c>
      <c r="G11" s="22">
        <f>'Raw Data'!G9</f>
        <v>2792</v>
      </c>
      <c r="H11" s="36">
        <f t="shared" si="0"/>
        <v>2950.9830508474574</v>
      </c>
      <c r="I11" s="22">
        <f t="shared" si="1"/>
        <v>-158.98305084745743</v>
      </c>
      <c r="J11" s="37">
        <f t="shared" si="2"/>
        <v>5.6942353455393065E-2</v>
      </c>
    </row>
    <row r="12" spans="1:10" ht="15" customHeight="1" x14ac:dyDescent="0.3">
      <c r="A12" s="16">
        <f>'Raw Data'!A10</f>
        <v>44477</v>
      </c>
      <c r="B12" s="17">
        <f>'Raw Data'!B10</f>
        <v>6</v>
      </c>
      <c r="C12" s="17" t="str">
        <f>'Raw Data'!C10</f>
        <v>Saturday</v>
      </c>
      <c r="D12" s="17">
        <f>'Raw Data'!D10</f>
        <v>0</v>
      </c>
      <c r="E12" s="17">
        <f>'Raw Data'!E10</f>
        <v>0</v>
      </c>
      <c r="F12" s="17">
        <f>'Raw Data'!F10</f>
        <v>0</v>
      </c>
      <c r="G12" s="18">
        <f>'Raw Data'!G10</f>
        <v>2246</v>
      </c>
      <c r="H12" s="34">
        <f t="shared" si="0"/>
        <v>2950.9830508474574</v>
      </c>
      <c r="I12" s="18">
        <f t="shared" si="1"/>
        <v>-704.98305084745743</v>
      </c>
      <c r="J12" s="35">
        <f t="shared" si="2"/>
        <v>0.31388381604962484</v>
      </c>
    </row>
    <row r="13" spans="1:10" ht="15" customHeight="1" x14ac:dyDescent="0.3">
      <c r="A13" s="19">
        <f>'Raw Data'!A11</f>
        <v>44478</v>
      </c>
      <c r="B13" s="20">
        <f>'Raw Data'!B11</f>
        <v>7</v>
      </c>
      <c r="C13" s="20" t="str">
        <f>'Raw Data'!C11</f>
        <v>Sunday</v>
      </c>
      <c r="D13" s="20">
        <f>'Raw Data'!D11</f>
        <v>0</v>
      </c>
      <c r="E13" s="20">
        <f>'Raw Data'!E11</f>
        <v>1</v>
      </c>
      <c r="F13" s="20">
        <f>'Raw Data'!F11</f>
        <v>0</v>
      </c>
      <c r="G13" s="22">
        <f>'Raw Data'!G11</f>
        <v>4078</v>
      </c>
      <c r="H13" s="36">
        <f t="shared" si="0"/>
        <v>2950.9830508474574</v>
      </c>
      <c r="I13" s="22">
        <f t="shared" si="1"/>
        <v>1127.0169491525426</v>
      </c>
      <c r="J13" s="37">
        <f t="shared" si="2"/>
        <v>0.2763651174969452</v>
      </c>
    </row>
    <row r="14" spans="1:10" ht="15" customHeight="1" x14ac:dyDescent="0.3">
      <c r="A14" s="16">
        <f>'Raw Data'!A12</f>
        <v>44479</v>
      </c>
      <c r="B14" s="17">
        <f>'Raw Data'!B12</f>
        <v>1</v>
      </c>
      <c r="C14" s="17" t="str">
        <f>'Raw Data'!C12</f>
        <v>Monday</v>
      </c>
      <c r="D14" s="17">
        <f>'Raw Data'!D12</f>
        <v>0</v>
      </c>
      <c r="E14" s="17">
        <f>'Raw Data'!E12</f>
        <v>1</v>
      </c>
      <c r="F14" s="17">
        <f>'Raw Data'!F12</f>
        <v>0</v>
      </c>
      <c r="G14" s="18">
        <f>'Raw Data'!G12</f>
        <v>3949</v>
      </c>
      <c r="H14" s="34">
        <f t="shared" si="0"/>
        <v>2950.9830508474574</v>
      </c>
      <c r="I14" s="18">
        <f t="shared" si="1"/>
        <v>998.01694915254257</v>
      </c>
      <c r="J14" s="35">
        <f t="shared" si="2"/>
        <v>0.25272650016524251</v>
      </c>
    </row>
    <row r="15" spans="1:10" ht="15" customHeight="1" x14ac:dyDescent="0.3">
      <c r="A15" s="19">
        <f>'Raw Data'!A13</f>
        <v>44480</v>
      </c>
      <c r="B15" s="20">
        <f>'Raw Data'!B13</f>
        <v>2</v>
      </c>
      <c r="C15" s="20" t="str">
        <f>'Raw Data'!C13</f>
        <v>Tuesday</v>
      </c>
      <c r="D15" s="20">
        <f>'Raw Data'!D13</f>
        <v>0</v>
      </c>
      <c r="E15" s="20">
        <f>'Raw Data'!E13</f>
        <v>0</v>
      </c>
      <c r="F15" s="20">
        <f>'Raw Data'!F13</f>
        <v>0</v>
      </c>
      <c r="G15" s="22">
        <f>'Raw Data'!G13</f>
        <v>2687</v>
      </c>
      <c r="H15" s="36">
        <f t="shared" si="0"/>
        <v>2950.9830508474574</v>
      </c>
      <c r="I15" s="22">
        <f t="shared" si="1"/>
        <v>-263.98305084745743</v>
      </c>
      <c r="J15" s="37">
        <f t="shared" si="2"/>
        <v>9.8244529530129299E-2</v>
      </c>
    </row>
    <row r="16" spans="1:10" ht="15" customHeight="1" x14ac:dyDescent="0.3">
      <c r="A16" s="16">
        <f>'Raw Data'!A14</f>
        <v>44481</v>
      </c>
      <c r="B16" s="17">
        <f>'Raw Data'!B14</f>
        <v>3</v>
      </c>
      <c r="C16" s="17" t="str">
        <f>'Raw Data'!C14</f>
        <v>Wednesday</v>
      </c>
      <c r="D16" s="17">
        <f>'Raw Data'!D14</f>
        <v>0</v>
      </c>
      <c r="E16" s="17">
        <f>'Raw Data'!E14</f>
        <v>0</v>
      </c>
      <c r="F16" s="17">
        <f>'Raw Data'!F14</f>
        <v>0</v>
      </c>
      <c r="G16" s="18">
        <f>'Raw Data'!G14</f>
        <v>2737</v>
      </c>
      <c r="H16" s="34">
        <f t="shared" si="0"/>
        <v>2950.9830508474574</v>
      </c>
      <c r="I16" s="18">
        <f t="shared" si="1"/>
        <v>-213.98305084745743</v>
      </c>
      <c r="J16" s="35">
        <f t="shared" si="2"/>
        <v>7.8181604255556245E-2</v>
      </c>
    </row>
    <row r="17" spans="1:10" ht="15" customHeight="1" x14ac:dyDescent="0.3">
      <c r="A17" s="19">
        <f>'Raw Data'!A15</f>
        <v>44482</v>
      </c>
      <c r="B17" s="20">
        <f>'Raw Data'!B15</f>
        <v>4</v>
      </c>
      <c r="C17" s="20" t="str">
        <f>'Raw Data'!C15</f>
        <v>Thursday</v>
      </c>
      <c r="D17" s="20">
        <f>'Raw Data'!D15</f>
        <v>0</v>
      </c>
      <c r="E17" s="20">
        <f>'Raw Data'!E15</f>
        <v>0</v>
      </c>
      <c r="F17" s="20">
        <f>'Raw Data'!F15</f>
        <v>1</v>
      </c>
      <c r="G17" s="22">
        <f>'Raw Data'!G15</f>
        <v>5817</v>
      </c>
      <c r="H17" s="36">
        <f t="shared" si="0"/>
        <v>2950.9830508474574</v>
      </c>
      <c r="I17" s="22">
        <f t="shared" si="1"/>
        <v>2866.0169491525426</v>
      </c>
      <c r="J17" s="37">
        <f t="shared" si="2"/>
        <v>0.49269674216134479</v>
      </c>
    </row>
    <row r="18" spans="1:10" ht="15" customHeight="1" x14ac:dyDescent="0.3">
      <c r="A18" s="16">
        <f>'Raw Data'!A16</f>
        <v>44483</v>
      </c>
      <c r="B18" s="17">
        <f>'Raw Data'!B16</f>
        <v>5</v>
      </c>
      <c r="C18" s="17" t="str">
        <f>'Raw Data'!C16</f>
        <v>Friday</v>
      </c>
      <c r="D18" s="17">
        <f>'Raw Data'!D16</f>
        <v>0</v>
      </c>
      <c r="E18" s="17">
        <f>'Raw Data'!E16</f>
        <v>0</v>
      </c>
      <c r="F18" s="17">
        <f>'Raw Data'!F16</f>
        <v>0</v>
      </c>
      <c r="G18" s="18">
        <f>'Raw Data'!G16</f>
        <v>2855</v>
      </c>
      <c r="H18" s="34">
        <f t="shared" si="0"/>
        <v>2950.9830508474574</v>
      </c>
      <c r="I18" s="18">
        <f t="shared" si="1"/>
        <v>-95.983050847457434</v>
      </c>
      <c r="J18" s="35">
        <f t="shared" si="2"/>
        <v>3.361928225830383E-2</v>
      </c>
    </row>
    <row r="19" spans="1:10" ht="15" customHeight="1" x14ac:dyDescent="0.3">
      <c r="A19" s="19">
        <f>'Raw Data'!A17</f>
        <v>44484</v>
      </c>
      <c r="B19" s="20">
        <f>'Raw Data'!B17</f>
        <v>6</v>
      </c>
      <c r="C19" s="20" t="str">
        <f>'Raw Data'!C17</f>
        <v>Saturday</v>
      </c>
      <c r="D19" s="20">
        <f>'Raw Data'!D17</f>
        <v>0</v>
      </c>
      <c r="E19" s="20">
        <f>'Raw Data'!E17</f>
        <v>0</v>
      </c>
      <c r="F19" s="20">
        <f>'Raw Data'!F17</f>
        <v>0</v>
      </c>
      <c r="G19" s="22">
        <f>'Raw Data'!G17</f>
        <v>2777</v>
      </c>
      <c r="H19" s="36">
        <f t="shared" si="0"/>
        <v>2950.9830508474574</v>
      </c>
      <c r="I19" s="22">
        <f t="shared" si="1"/>
        <v>-173.98305084745743</v>
      </c>
      <c r="J19" s="37">
        <f t="shared" si="2"/>
        <v>6.2651440708483053E-2</v>
      </c>
    </row>
    <row r="20" spans="1:10" ht="15" customHeight="1" x14ac:dyDescent="0.3">
      <c r="A20" s="16">
        <f>'Raw Data'!A18</f>
        <v>44485</v>
      </c>
      <c r="B20" s="17">
        <f>'Raw Data'!B18</f>
        <v>7</v>
      </c>
      <c r="C20" s="17" t="str">
        <f>'Raw Data'!C18</f>
        <v>Sunday</v>
      </c>
      <c r="D20" s="17">
        <f>'Raw Data'!D18</f>
        <v>0</v>
      </c>
      <c r="E20" s="17">
        <f>'Raw Data'!E18</f>
        <v>1</v>
      </c>
      <c r="F20" s="17">
        <f>'Raw Data'!F18</f>
        <v>0</v>
      </c>
      <c r="G20" s="18">
        <f>'Raw Data'!G18</f>
        <v>3605</v>
      </c>
      <c r="H20" s="34">
        <f t="shared" si="0"/>
        <v>2950.9830508474574</v>
      </c>
      <c r="I20" s="18">
        <f t="shared" si="1"/>
        <v>654.01694915254257</v>
      </c>
      <c r="J20" s="35">
        <f t="shared" si="2"/>
        <v>0.1814194033710243</v>
      </c>
    </row>
    <row r="21" spans="1:10" ht="15" customHeight="1" x14ac:dyDescent="0.3">
      <c r="A21" s="19">
        <f>'Raw Data'!A19</f>
        <v>44486</v>
      </c>
      <c r="B21" s="20">
        <f>'Raw Data'!B19</f>
        <v>1</v>
      </c>
      <c r="C21" s="20" t="str">
        <f>'Raw Data'!C19</f>
        <v>Monday</v>
      </c>
      <c r="D21" s="20">
        <f>'Raw Data'!D19</f>
        <v>0</v>
      </c>
      <c r="E21" s="20">
        <f>'Raw Data'!E19</f>
        <v>1</v>
      </c>
      <c r="F21" s="20">
        <f>'Raw Data'!F19</f>
        <v>0</v>
      </c>
      <c r="G21" s="22">
        <f>'Raw Data'!G19</f>
        <v>2351</v>
      </c>
      <c r="H21" s="36">
        <f t="shared" si="0"/>
        <v>2950.9830508474574</v>
      </c>
      <c r="I21" s="22">
        <f t="shared" si="1"/>
        <v>-599.98305084745743</v>
      </c>
      <c r="J21" s="37">
        <f t="shared" si="2"/>
        <v>0.25520333936514566</v>
      </c>
    </row>
    <row r="22" spans="1:10" ht="15" customHeight="1" x14ac:dyDescent="0.3">
      <c r="A22" s="16">
        <f>'Raw Data'!A20</f>
        <v>44487</v>
      </c>
      <c r="B22" s="17">
        <f>'Raw Data'!B20</f>
        <v>2</v>
      </c>
      <c r="C22" s="17" t="str">
        <f>'Raw Data'!C20</f>
        <v>Tuesday</v>
      </c>
      <c r="D22" s="17">
        <f>'Raw Data'!D20</f>
        <v>0</v>
      </c>
      <c r="E22" s="17">
        <f>'Raw Data'!E20</f>
        <v>0</v>
      </c>
      <c r="F22" s="17">
        <f>'Raw Data'!F20</f>
        <v>0</v>
      </c>
      <c r="G22" s="18">
        <f>'Raw Data'!G20</f>
        <v>2189</v>
      </c>
      <c r="H22" s="34">
        <f t="shared" si="0"/>
        <v>2950.9830508474574</v>
      </c>
      <c r="I22" s="18">
        <f t="shared" si="1"/>
        <v>-761.98305084745743</v>
      </c>
      <c r="J22" s="35">
        <f t="shared" si="2"/>
        <v>0.34809641427476357</v>
      </c>
    </row>
    <row r="23" spans="1:10" ht="15" customHeight="1" x14ac:dyDescent="0.3">
      <c r="A23" s="19">
        <f>'Raw Data'!A21</f>
        <v>44488</v>
      </c>
      <c r="B23" s="20">
        <f>'Raw Data'!B21</f>
        <v>3</v>
      </c>
      <c r="C23" s="20" t="str">
        <f>'Raw Data'!C21</f>
        <v>Wednesday</v>
      </c>
      <c r="D23" s="20">
        <f>'Raw Data'!D21</f>
        <v>0</v>
      </c>
      <c r="E23" s="20">
        <f>'Raw Data'!E21</f>
        <v>0</v>
      </c>
      <c r="F23" s="20">
        <f>'Raw Data'!F21</f>
        <v>0</v>
      </c>
      <c r="G23" s="22">
        <f>'Raw Data'!G21</f>
        <v>2139</v>
      </c>
      <c r="H23" s="36">
        <f t="shared" si="0"/>
        <v>2950.9830508474574</v>
      </c>
      <c r="I23" s="22">
        <f t="shared" si="1"/>
        <v>-811.98305084745743</v>
      </c>
      <c r="J23" s="37">
        <f t="shared" si="2"/>
        <v>0.37960871942377628</v>
      </c>
    </row>
    <row r="24" spans="1:10" ht="15" customHeight="1" x14ac:dyDescent="0.3">
      <c r="A24" s="16">
        <f>'Raw Data'!A22</f>
        <v>44489</v>
      </c>
      <c r="B24" s="17">
        <f>'Raw Data'!B22</f>
        <v>4</v>
      </c>
      <c r="C24" s="17" t="str">
        <f>'Raw Data'!C22</f>
        <v>Thursday</v>
      </c>
      <c r="D24" s="17">
        <f>'Raw Data'!D22</f>
        <v>0</v>
      </c>
      <c r="E24" s="17">
        <f>'Raw Data'!E22</f>
        <v>0</v>
      </c>
      <c r="F24" s="17">
        <f>'Raw Data'!F22</f>
        <v>0</v>
      </c>
      <c r="G24" s="18">
        <f>'Raw Data'!G22</f>
        <v>2569</v>
      </c>
      <c r="H24" s="34">
        <f t="shared" si="0"/>
        <v>2950.9830508474574</v>
      </c>
      <c r="I24" s="18">
        <f t="shared" si="1"/>
        <v>-381.98305084745743</v>
      </c>
      <c r="J24" s="35">
        <f t="shared" si="2"/>
        <v>0.14868939308970705</v>
      </c>
    </row>
    <row r="25" spans="1:10" ht="15" customHeight="1" x14ac:dyDescent="0.3">
      <c r="A25" s="19">
        <f>'Raw Data'!A23</f>
        <v>44490</v>
      </c>
      <c r="B25" s="20">
        <f>'Raw Data'!B23</f>
        <v>5</v>
      </c>
      <c r="C25" s="20" t="str">
        <f>'Raw Data'!C23</f>
        <v>Friday</v>
      </c>
      <c r="D25" s="20">
        <f>'Raw Data'!D23</f>
        <v>0</v>
      </c>
      <c r="E25" s="20">
        <f>'Raw Data'!E23</f>
        <v>0</v>
      </c>
      <c r="F25" s="20">
        <f>'Raw Data'!F23</f>
        <v>0</v>
      </c>
      <c r="G25" s="22">
        <f>'Raw Data'!G23</f>
        <v>2519</v>
      </c>
      <c r="H25" s="36">
        <f t="shared" si="0"/>
        <v>2950.9830508474574</v>
      </c>
      <c r="I25" s="22">
        <f t="shared" si="1"/>
        <v>-431.98305084745743</v>
      </c>
      <c r="J25" s="37">
        <f t="shared" si="2"/>
        <v>0.1714898971208644</v>
      </c>
    </row>
    <row r="26" spans="1:10" ht="15" customHeight="1" x14ac:dyDescent="0.3">
      <c r="A26" s="16">
        <f>'Raw Data'!A24</f>
        <v>44491</v>
      </c>
      <c r="B26" s="17">
        <f>'Raw Data'!B24</f>
        <v>6</v>
      </c>
      <c r="C26" s="17" t="str">
        <f>'Raw Data'!C24</f>
        <v>Saturday</v>
      </c>
      <c r="D26" s="17">
        <f>'Raw Data'!D24</f>
        <v>0</v>
      </c>
      <c r="E26" s="17">
        <f>'Raw Data'!E24</f>
        <v>0</v>
      </c>
      <c r="F26" s="17">
        <f>'Raw Data'!F24</f>
        <v>0</v>
      </c>
      <c r="G26" s="18">
        <f>'Raw Data'!G24</f>
        <v>2715</v>
      </c>
      <c r="H26" s="34">
        <f t="shared" si="0"/>
        <v>2950.9830508474574</v>
      </c>
      <c r="I26" s="18">
        <f t="shared" si="1"/>
        <v>-235.98305084745743</v>
      </c>
      <c r="J26" s="35">
        <f t="shared" si="2"/>
        <v>8.691825077254417E-2</v>
      </c>
    </row>
    <row r="27" spans="1:10" ht="15" customHeight="1" x14ac:dyDescent="0.3">
      <c r="A27" s="19">
        <f>'Raw Data'!A25</f>
        <v>44492</v>
      </c>
      <c r="B27" s="20">
        <f>'Raw Data'!B25</f>
        <v>7</v>
      </c>
      <c r="C27" s="20" t="str">
        <f>'Raw Data'!C25</f>
        <v>Sunday</v>
      </c>
      <c r="D27" s="20">
        <f>'Raw Data'!D25</f>
        <v>0</v>
      </c>
      <c r="E27" s="20">
        <f>'Raw Data'!E25</f>
        <v>1</v>
      </c>
      <c r="F27" s="20">
        <f>'Raw Data'!F25</f>
        <v>0</v>
      </c>
      <c r="G27" s="22">
        <f>'Raw Data'!G25</f>
        <v>2463</v>
      </c>
      <c r="H27" s="36">
        <f t="shared" si="0"/>
        <v>2950.9830508474574</v>
      </c>
      <c r="I27" s="22">
        <f t="shared" si="1"/>
        <v>-487.98305084745743</v>
      </c>
      <c r="J27" s="37">
        <f t="shared" si="2"/>
        <v>0.19812547740457062</v>
      </c>
    </row>
    <row r="28" spans="1:10" ht="15" customHeight="1" x14ac:dyDescent="0.3">
      <c r="A28" s="16">
        <f>'Raw Data'!A26</f>
        <v>44493</v>
      </c>
      <c r="B28" s="17">
        <f>'Raw Data'!B26</f>
        <v>1</v>
      </c>
      <c r="C28" s="17" t="str">
        <f>'Raw Data'!C26</f>
        <v>Monday</v>
      </c>
      <c r="D28" s="17">
        <f>'Raw Data'!D26</f>
        <v>0</v>
      </c>
      <c r="E28" s="17">
        <f>'Raw Data'!E26</f>
        <v>1</v>
      </c>
      <c r="F28" s="17">
        <f>'Raw Data'!F26</f>
        <v>0</v>
      </c>
      <c r="G28" s="18">
        <f>'Raw Data'!G26</f>
        <v>5488</v>
      </c>
      <c r="H28" s="34">
        <f t="shared" si="0"/>
        <v>2950.9830508474574</v>
      </c>
      <c r="I28" s="18">
        <f t="shared" si="1"/>
        <v>2537.0169491525426</v>
      </c>
      <c r="J28" s="35">
        <f t="shared" si="2"/>
        <v>0.46228442951030296</v>
      </c>
    </row>
    <row r="29" spans="1:10" ht="15" customHeight="1" x14ac:dyDescent="0.3">
      <c r="A29" s="19">
        <f>'Raw Data'!A27</f>
        <v>44494</v>
      </c>
      <c r="B29" s="20">
        <f>'Raw Data'!B27</f>
        <v>2</v>
      </c>
      <c r="C29" s="20" t="str">
        <f>'Raw Data'!C27</f>
        <v>Tuesday</v>
      </c>
      <c r="D29" s="20">
        <f>'Raw Data'!D27</f>
        <v>1</v>
      </c>
      <c r="E29" s="20">
        <f>'Raw Data'!E27</f>
        <v>0</v>
      </c>
      <c r="F29" s="20">
        <f>'Raw Data'!F27</f>
        <v>0</v>
      </c>
      <c r="G29" s="22">
        <f>'Raw Data'!G27</f>
        <v>2191</v>
      </c>
      <c r="H29" s="36">
        <f t="shared" si="0"/>
        <v>2950.9830508474574</v>
      </c>
      <c r="I29" s="22">
        <f t="shared" si="1"/>
        <v>-759.98305084745743</v>
      </c>
      <c r="J29" s="37">
        <f t="shared" si="2"/>
        <v>0.34686583790390574</v>
      </c>
    </row>
    <row r="30" spans="1:10" ht="15" customHeight="1" x14ac:dyDescent="0.3">
      <c r="A30" s="16">
        <f>'Raw Data'!A28</f>
        <v>44495</v>
      </c>
      <c r="B30" s="17">
        <f>'Raw Data'!B28</f>
        <v>3</v>
      </c>
      <c r="C30" s="17" t="str">
        <f>'Raw Data'!C28</f>
        <v>Wednesday</v>
      </c>
      <c r="D30" s="17">
        <f>'Raw Data'!D28</f>
        <v>1</v>
      </c>
      <c r="E30" s="17">
        <f>'Raw Data'!E28</f>
        <v>0</v>
      </c>
      <c r="F30" s="17">
        <f>'Raw Data'!F28</f>
        <v>0</v>
      </c>
      <c r="G30" s="18">
        <f>'Raw Data'!G28</f>
        <v>1944</v>
      </c>
      <c r="H30" s="34">
        <f t="shared" si="0"/>
        <v>2950.9830508474574</v>
      </c>
      <c r="I30" s="18">
        <f t="shared" si="1"/>
        <v>-1006.9830508474574</v>
      </c>
      <c r="J30" s="35">
        <f t="shared" si="2"/>
        <v>0.51799539652646986</v>
      </c>
    </row>
    <row r="31" spans="1:10" ht="15" customHeight="1" x14ac:dyDescent="0.3">
      <c r="A31" s="19">
        <f>'Raw Data'!A29</f>
        <v>44496</v>
      </c>
      <c r="B31" s="20">
        <f>'Raw Data'!B29</f>
        <v>4</v>
      </c>
      <c r="C31" s="20" t="str">
        <f>'Raw Data'!C29</f>
        <v>Thursday</v>
      </c>
      <c r="D31" s="20">
        <f>'Raw Data'!D29</f>
        <v>1</v>
      </c>
      <c r="E31" s="20">
        <f>'Raw Data'!E29</f>
        <v>0</v>
      </c>
      <c r="F31" s="20">
        <f>'Raw Data'!F29</f>
        <v>0</v>
      </c>
      <c r="G31" s="22">
        <f>'Raw Data'!G29</f>
        <v>2955</v>
      </c>
      <c r="H31" s="36">
        <f t="shared" si="0"/>
        <v>2950.9830508474574</v>
      </c>
      <c r="I31" s="22">
        <f t="shared" si="1"/>
        <v>4.0169491525425656</v>
      </c>
      <c r="J31" s="37">
        <f t="shared" si="2"/>
        <v>1.3593736556827634E-3</v>
      </c>
    </row>
    <row r="32" spans="1:10" ht="15" customHeight="1" x14ac:dyDescent="0.3">
      <c r="A32" s="16">
        <f>'Raw Data'!A30</f>
        <v>44497</v>
      </c>
      <c r="B32" s="17">
        <f>'Raw Data'!B30</f>
        <v>5</v>
      </c>
      <c r="C32" s="17" t="str">
        <f>'Raw Data'!C30</f>
        <v>Friday</v>
      </c>
      <c r="D32" s="17">
        <f>'Raw Data'!D30</f>
        <v>1</v>
      </c>
      <c r="E32" s="17">
        <f>'Raw Data'!E30</f>
        <v>0</v>
      </c>
      <c r="F32" s="17">
        <f>'Raw Data'!F30</f>
        <v>1</v>
      </c>
      <c r="G32" s="18">
        <f>'Raw Data'!G30</f>
        <v>4089</v>
      </c>
      <c r="H32" s="34">
        <f t="shared" si="0"/>
        <v>2950.9830508474574</v>
      </c>
      <c r="I32" s="18">
        <f t="shared" si="1"/>
        <v>1138.0169491525426</v>
      </c>
      <c r="J32" s="35">
        <f t="shared" si="2"/>
        <v>0.2783117997438353</v>
      </c>
    </row>
    <row r="33" spans="1:10" ht="15" customHeight="1" x14ac:dyDescent="0.3">
      <c r="A33" s="19">
        <f>'Raw Data'!A31</f>
        <v>44498</v>
      </c>
      <c r="B33" s="20">
        <f>'Raw Data'!B31</f>
        <v>6</v>
      </c>
      <c r="C33" s="20" t="str">
        <f>'Raw Data'!C31</f>
        <v>Saturday</v>
      </c>
      <c r="D33" s="20">
        <f>'Raw Data'!D31</f>
        <v>1</v>
      </c>
      <c r="E33" s="20">
        <f>'Raw Data'!E31</f>
        <v>0</v>
      </c>
      <c r="F33" s="20">
        <f>'Raw Data'!F31</f>
        <v>0</v>
      </c>
      <c r="G33" s="22">
        <f>'Raw Data'!G31</f>
        <v>2104</v>
      </c>
      <c r="H33" s="36">
        <f t="shared" si="0"/>
        <v>2950.9830508474574</v>
      </c>
      <c r="I33" s="22">
        <f t="shared" si="1"/>
        <v>-846.98305084745743</v>
      </c>
      <c r="J33" s="37">
        <f t="shared" si="2"/>
        <v>0.40255848424308815</v>
      </c>
    </row>
    <row r="34" spans="1:10" ht="15" customHeight="1" x14ac:dyDescent="0.3">
      <c r="A34" s="16">
        <f>'Raw Data'!A32</f>
        <v>44499</v>
      </c>
      <c r="B34" s="17">
        <f>'Raw Data'!B32</f>
        <v>7</v>
      </c>
      <c r="C34" s="17" t="str">
        <f>'Raw Data'!C32</f>
        <v>Sunday</v>
      </c>
      <c r="D34" s="17">
        <f>'Raw Data'!D32</f>
        <v>1</v>
      </c>
      <c r="E34" s="17">
        <f>'Raw Data'!E32</f>
        <v>1</v>
      </c>
      <c r="F34" s="17">
        <f>'Raw Data'!F32</f>
        <v>0</v>
      </c>
      <c r="G34" s="18">
        <f>'Raw Data'!G32</f>
        <v>4240</v>
      </c>
      <c r="H34" s="34">
        <f t="shared" si="0"/>
        <v>2950.9830508474574</v>
      </c>
      <c r="I34" s="18">
        <f t="shared" si="1"/>
        <v>1289.0169491525426</v>
      </c>
      <c r="J34" s="35">
        <f t="shared" si="2"/>
        <v>0.30401343140390152</v>
      </c>
    </row>
    <row r="35" spans="1:10" ht="15" customHeight="1" x14ac:dyDescent="0.3">
      <c r="A35" s="19">
        <f>'Raw Data'!A33</f>
        <v>44500</v>
      </c>
      <c r="B35" s="20">
        <f>'Raw Data'!B33</f>
        <v>1</v>
      </c>
      <c r="C35" s="20" t="str">
        <f>'Raw Data'!C33</f>
        <v>Monday</v>
      </c>
      <c r="D35" s="20">
        <f>'Raw Data'!D33</f>
        <v>1</v>
      </c>
      <c r="E35" s="20">
        <f>'Raw Data'!E33</f>
        <v>1</v>
      </c>
      <c r="F35" s="20">
        <f>'Raw Data'!F33</f>
        <v>0</v>
      </c>
      <c r="G35" s="22">
        <f>'Raw Data'!G33</f>
        <v>2190</v>
      </c>
      <c r="H35" s="36">
        <f t="shared" si="0"/>
        <v>2950.9830508474574</v>
      </c>
      <c r="I35" s="22">
        <f t="shared" si="1"/>
        <v>-760.98305084745743</v>
      </c>
      <c r="J35" s="37">
        <f t="shared" si="2"/>
        <v>0.34748084513582533</v>
      </c>
    </row>
    <row r="36" spans="1:10" ht="15" customHeight="1" x14ac:dyDescent="0.3">
      <c r="A36" s="16">
        <f>'Raw Data'!A34</f>
        <v>44501</v>
      </c>
      <c r="B36" s="17">
        <f>'Raw Data'!B34</f>
        <v>2</v>
      </c>
      <c r="C36" s="17" t="str">
        <f>'Raw Data'!C34</f>
        <v>Tuesday</v>
      </c>
      <c r="D36" s="17">
        <f>'Raw Data'!D34</f>
        <v>1</v>
      </c>
      <c r="E36" s="17">
        <f>'Raw Data'!E34</f>
        <v>0</v>
      </c>
      <c r="F36" s="17">
        <f>'Raw Data'!F34</f>
        <v>0</v>
      </c>
      <c r="G36" s="18">
        <f>'Raw Data'!G34</f>
        <v>1950</v>
      </c>
      <c r="H36" s="34">
        <f t="shared" si="0"/>
        <v>2950.9830508474574</v>
      </c>
      <c r="I36" s="18">
        <f t="shared" si="1"/>
        <v>-1000.9830508474574</v>
      </c>
      <c r="J36" s="35">
        <f t="shared" si="2"/>
        <v>0.5133246414602346</v>
      </c>
    </row>
    <row r="37" spans="1:10" ht="15" customHeight="1" x14ac:dyDescent="0.3">
      <c r="A37" s="19">
        <f>'Raw Data'!A35</f>
        <v>44502</v>
      </c>
      <c r="B37" s="20">
        <f>'Raw Data'!B35</f>
        <v>3</v>
      </c>
      <c r="C37" s="20" t="str">
        <f>'Raw Data'!C35</f>
        <v>Wednesday</v>
      </c>
      <c r="D37" s="20">
        <f>'Raw Data'!D35</f>
        <v>1</v>
      </c>
      <c r="E37" s="20">
        <f>'Raw Data'!E35</f>
        <v>0</v>
      </c>
      <c r="F37" s="20">
        <f>'Raw Data'!F35</f>
        <v>0</v>
      </c>
      <c r="G37" s="22">
        <f>'Raw Data'!G35</f>
        <v>1748</v>
      </c>
      <c r="H37" s="36">
        <f t="shared" si="0"/>
        <v>2950.9830508474574</v>
      </c>
      <c r="I37" s="22">
        <f t="shared" si="1"/>
        <v>-1202.9830508474574</v>
      </c>
      <c r="J37" s="37">
        <f t="shared" si="2"/>
        <v>0.68820540666330521</v>
      </c>
    </row>
    <row r="38" spans="1:10" ht="15" customHeight="1" x14ac:dyDescent="0.3">
      <c r="A38" s="16">
        <f>'Raw Data'!A36</f>
        <v>44503</v>
      </c>
      <c r="B38" s="17">
        <f>'Raw Data'!B36</f>
        <v>4</v>
      </c>
      <c r="C38" s="17" t="str">
        <f>'Raw Data'!C36</f>
        <v>Thursday</v>
      </c>
      <c r="D38" s="17">
        <f>'Raw Data'!D36</f>
        <v>1</v>
      </c>
      <c r="E38" s="17">
        <f>'Raw Data'!E36</f>
        <v>0</v>
      </c>
      <c r="F38" s="17">
        <f>'Raw Data'!F36</f>
        <v>0</v>
      </c>
      <c r="G38" s="18">
        <f>'Raw Data'!G36</f>
        <v>2186</v>
      </c>
      <c r="H38" s="34">
        <f t="shared" ref="H38:H64" si="3">$B$3</f>
        <v>2950.9830508474574</v>
      </c>
      <c r="I38" s="18">
        <f t="shared" si="1"/>
        <v>-764.98305084745743</v>
      </c>
      <c r="J38" s="35">
        <f t="shared" si="2"/>
        <v>0.34994650084513151</v>
      </c>
    </row>
    <row r="39" spans="1:10" ht="15" customHeight="1" x14ac:dyDescent="0.3">
      <c r="A39" s="19">
        <f>'Raw Data'!A37</f>
        <v>44504</v>
      </c>
      <c r="B39" s="20">
        <f>'Raw Data'!B37</f>
        <v>5</v>
      </c>
      <c r="C39" s="20" t="str">
        <f>'Raw Data'!C37</f>
        <v>Friday</v>
      </c>
      <c r="D39" s="20">
        <f>'Raw Data'!D37</f>
        <v>1</v>
      </c>
      <c r="E39" s="20">
        <f>'Raw Data'!E37</f>
        <v>0</v>
      </c>
      <c r="F39" s="20">
        <f>'Raw Data'!F37</f>
        <v>0</v>
      </c>
      <c r="G39" s="22">
        <f>'Raw Data'!G37</f>
        <v>1983</v>
      </c>
      <c r="H39" s="36">
        <f t="shared" si="3"/>
        <v>2950.9830508474574</v>
      </c>
      <c r="I39" s="22">
        <f t="shared" si="1"/>
        <v>-967.98305084745743</v>
      </c>
      <c r="J39" s="37">
        <f t="shared" si="2"/>
        <v>0.48814072155696292</v>
      </c>
    </row>
    <row r="40" spans="1:10" ht="15" customHeight="1" x14ac:dyDescent="0.3">
      <c r="A40" s="16">
        <f>'Raw Data'!A38</f>
        <v>44505</v>
      </c>
      <c r="B40" s="17">
        <f>'Raw Data'!B38</f>
        <v>6</v>
      </c>
      <c r="C40" s="17" t="str">
        <f>'Raw Data'!C38</f>
        <v>Saturday</v>
      </c>
      <c r="D40" s="17">
        <f>'Raw Data'!D38</f>
        <v>1</v>
      </c>
      <c r="E40" s="17">
        <f>'Raw Data'!E38</f>
        <v>0</v>
      </c>
      <c r="F40" s="17">
        <f>'Raw Data'!F38</f>
        <v>0</v>
      </c>
      <c r="G40" s="18">
        <f>'Raw Data'!G38</f>
        <v>2214</v>
      </c>
      <c r="H40" s="34">
        <f t="shared" si="3"/>
        <v>2950.9830508474574</v>
      </c>
      <c r="I40" s="18">
        <f t="shared" ref="I40:I49" si="4">G30-H40</f>
        <v>-1006.9830508474574</v>
      </c>
      <c r="J40" s="35">
        <f t="shared" ref="J40:J49" si="5">ABS((G30-H40)/G30)</f>
        <v>0.51799539652646986</v>
      </c>
    </row>
    <row r="41" spans="1:10" ht="15" customHeight="1" x14ac:dyDescent="0.3">
      <c r="A41" s="19">
        <f>'Raw Data'!A39</f>
        <v>44506</v>
      </c>
      <c r="B41" s="20">
        <f>'Raw Data'!B39</f>
        <v>7</v>
      </c>
      <c r="C41" s="20" t="str">
        <f>'Raw Data'!C39</f>
        <v>Sunday</v>
      </c>
      <c r="D41" s="20">
        <f>'Raw Data'!D39</f>
        <v>1</v>
      </c>
      <c r="E41" s="20">
        <f>'Raw Data'!E39</f>
        <v>1</v>
      </c>
      <c r="F41" s="20">
        <f>'Raw Data'!F39</f>
        <v>0</v>
      </c>
      <c r="G41" s="22">
        <f>'Raw Data'!G39</f>
        <v>4930</v>
      </c>
      <c r="H41" s="36">
        <f t="shared" si="3"/>
        <v>2950.9830508474574</v>
      </c>
      <c r="I41" s="22">
        <f t="shared" si="4"/>
        <v>4.0169491525425656</v>
      </c>
      <c r="J41" s="37">
        <f t="shared" si="5"/>
        <v>1.3593736556827634E-3</v>
      </c>
    </row>
    <row r="42" spans="1:10" ht="15" customHeight="1" x14ac:dyDescent="0.3">
      <c r="A42" s="16">
        <f>'Raw Data'!A40</f>
        <v>44507</v>
      </c>
      <c r="B42" s="17">
        <f>'Raw Data'!B40</f>
        <v>1</v>
      </c>
      <c r="C42" s="17" t="str">
        <f>'Raw Data'!C40</f>
        <v>Monday</v>
      </c>
      <c r="D42" s="17">
        <f>'Raw Data'!D40</f>
        <v>1</v>
      </c>
      <c r="E42" s="17">
        <f>'Raw Data'!E40</f>
        <v>1</v>
      </c>
      <c r="F42" s="17">
        <f>'Raw Data'!F40</f>
        <v>0</v>
      </c>
      <c r="G42" s="18">
        <f>'Raw Data'!G30</f>
        <v>4089</v>
      </c>
      <c r="H42" s="34">
        <f t="shared" si="3"/>
        <v>2950.9830508474574</v>
      </c>
      <c r="I42" s="18">
        <f t="shared" si="4"/>
        <v>1138.0169491525426</v>
      </c>
      <c r="J42" s="35">
        <f t="shared" si="5"/>
        <v>0.2783117997438353</v>
      </c>
    </row>
    <row r="43" spans="1:10" ht="15" customHeight="1" x14ac:dyDescent="0.3">
      <c r="A43" s="19">
        <f>'Raw Data'!A41</f>
        <v>44508</v>
      </c>
      <c r="B43" s="20">
        <f>'Raw Data'!B41</f>
        <v>2</v>
      </c>
      <c r="C43" s="20" t="str">
        <f>'Raw Data'!C41</f>
        <v>Tuesday</v>
      </c>
      <c r="D43" s="20">
        <f>'Raw Data'!D41</f>
        <v>0</v>
      </c>
      <c r="E43" s="20">
        <f>'Raw Data'!E41</f>
        <v>0</v>
      </c>
      <c r="F43" s="20">
        <f>'Raw Data'!F41</f>
        <v>0</v>
      </c>
      <c r="G43" s="22">
        <f>'Raw Data'!G31</f>
        <v>2104</v>
      </c>
      <c r="H43" s="36">
        <f t="shared" si="3"/>
        <v>2950.9830508474574</v>
      </c>
      <c r="I43" s="22">
        <f t="shared" si="4"/>
        <v>-846.98305084745743</v>
      </c>
      <c r="J43" s="37">
        <f t="shared" si="5"/>
        <v>0.40255848424308815</v>
      </c>
    </row>
    <row r="44" spans="1:10" ht="15" customHeight="1" x14ac:dyDescent="0.3">
      <c r="A44" s="16">
        <f>'Raw Data'!A42</f>
        <v>44509</v>
      </c>
      <c r="B44" s="17">
        <f>'Raw Data'!B42</f>
        <v>3</v>
      </c>
      <c r="C44" s="17" t="str">
        <f>'Raw Data'!C42</f>
        <v>Wednesday</v>
      </c>
      <c r="D44" s="17">
        <f>'Raw Data'!D42</f>
        <v>0</v>
      </c>
      <c r="E44" s="17">
        <f>'Raw Data'!E42</f>
        <v>0</v>
      </c>
      <c r="F44" s="17">
        <f>'Raw Data'!F42</f>
        <v>1</v>
      </c>
      <c r="G44" s="18">
        <f>'Raw Data'!G32</f>
        <v>4240</v>
      </c>
      <c r="H44" s="34">
        <f t="shared" si="3"/>
        <v>2950.9830508474574</v>
      </c>
      <c r="I44" s="18">
        <f t="shared" si="4"/>
        <v>1289.0169491525426</v>
      </c>
      <c r="J44" s="35">
        <f t="shared" si="5"/>
        <v>0.30401343140390152</v>
      </c>
    </row>
    <row r="45" spans="1:10" ht="15" customHeight="1" x14ac:dyDescent="0.3">
      <c r="A45" s="19">
        <f>'Raw Data'!A43</f>
        <v>44510</v>
      </c>
      <c r="B45" s="20">
        <f>'Raw Data'!B43</f>
        <v>4</v>
      </c>
      <c r="C45" s="20" t="str">
        <f>'Raw Data'!C43</f>
        <v>Thursday</v>
      </c>
      <c r="D45" s="20">
        <f>'Raw Data'!D43</f>
        <v>0</v>
      </c>
      <c r="E45" s="20">
        <f>'Raw Data'!E43</f>
        <v>0</v>
      </c>
      <c r="F45" s="20">
        <f>'Raw Data'!F43</f>
        <v>0</v>
      </c>
      <c r="G45" s="22">
        <f>'Raw Data'!G33</f>
        <v>2190</v>
      </c>
      <c r="H45" s="36">
        <f t="shared" si="3"/>
        <v>2950.9830508474574</v>
      </c>
      <c r="I45" s="22">
        <f t="shared" si="4"/>
        <v>-760.98305084745743</v>
      </c>
      <c r="J45" s="37">
        <f t="shared" si="5"/>
        <v>0.34748084513582533</v>
      </c>
    </row>
    <row r="46" spans="1:10" ht="15" customHeight="1" x14ac:dyDescent="0.3">
      <c r="A46" s="16">
        <f>'Raw Data'!A44</f>
        <v>44511</v>
      </c>
      <c r="B46" s="17">
        <f>'Raw Data'!B44</f>
        <v>5</v>
      </c>
      <c r="C46" s="17" t="str">
        <f>'Raw Data'!C44</f>
        <v>Friday</v>
      </c>
      <c r="D46" s="17">
        <f>'Raw Data'!D44</f>
        <v>0</v>
      </c>
      <c r="E46" s="17">
        <f>'Raw Data'!E44</f>
        <v>0</v>
      </c>
      <c r="F46" s="17">
        <f>'Raw Data'!F44</f>
        <v>0</v>
      </c>
      <c r="G46" s="18">
        <f>'Raw Data'!G34</f>
        <v>1950</v>
      </c>
      <c r="H46" s="34">
        <f t="shared" si="3"/>
        <v>2950.9830508474574</v>
      </c>
      <c r="I46" s="18">
        <f t="shared" si="4"/>
        <v>-1000.9830508474574</v>
      </c>
      <c r="J46" s="35">
        <f t="shared" si="5"/>
        <v>0.5133246414602346</v>
      </c>
    </row>
    <row r="47" spans="1:10" ht="15" customHeight="1" x14ac:dyDescent="0.3">
      <c r="A47" s="19">
        <f>'Raw Data'!A45</f>
        <v>44512</v>
      </c>
      <c r="B47" s="20">
        <f>'Raw Data'!B45</f>
        <v>6</v>
      </c>
      <c r="C47" s="20" t="str">
        <f>'Raw Data'!C45</f>
        <v>Saturday</v>
      </c>
      <c r="D47" s="20">
        <f>'Raw Data'!D45</f>
        <v>0</v>
      </c>
      <c r="E47" s="20">
        <f>'Raw Data'!E45</f>
        <v>0</v>
      </c>
      <c r="F47" s="20">
        <f>'Raw Data'!F45</f>
        <v>0</v>
      </c>
      <c r="G47" s="22">
        <f>'Raw Data'!G35</f>
        <v>1748</v>
      </c>
      <c r="H47" s="36">
        <f t="shared" si="3"/>
        <v>2950.9830508474574</v>
      </c>
      <c r="I47" s="22">
        <f t="shared" si="4"/>
        <v>-1202.9830508474574</v>
      </c>
      <c r="J47" s="37">
        <f t="shared" si="5"/>
        <v>0.68820540666330521</v>
      </c>
    </row>
    <row r="48" spans="1:10" ht="15" customHeight="1" x14ac:dyDescent="0.3">
      <c r="A48" s="16">
        <f>'Raw Data'!A46</f>
        <v>44513</v>
      </c>
      <c r="B48" s="17">
        <f>'Raw Data'!B46</f>
        <v>7</v>
      </c>
      <c r="C48" s="17" t="str">
        <f>'Raw Data'!C46</f>
        <v>Sunday</v>
      </c>
      <c r="D48" s="17">
        <f>'Raw Data'!D46</f>
        <v>0</v>
      </c>
      <c r="E48" s="17">
        <f>'Raw Data'!E46</f>
        <v>1</v>
      </c>
      <c r="F48" s="17">
        <f>'Raw Data'!F46</f>
        <v>0</v>
      </c>
      <c r="G48" s="18">
        <f>'Raw Data'!G36</f>
        <v>2186</v>
      </c>
      <c r="H48" s="34">
        <f t="shared" si="3"/>
        <v>2950.9830508474574</v>
      </c>
      <c r="I48" s="18">
        <f t="shared" si="4"/>
        <v>-764.98305084745743</v>
      </c>
      <c r="J48" s="35">
        <f t="shared" si="5"/>
        <v>0.34994650084513151</v>
      </c>
    </row>
    <row r="49" spans="1:10" ht="15" customHeight="1" x14ac:dyDescent="0.3">
      <c r="A49" s="19">
        <f>'Raw Data'!A47</f>
        <v>44514</v>
      </c>
      <c r="B49" s="20">
        <f>'Raw Data'!B47</f>
        <v>1</v>
      </c>
      <c r="C49" s="20" t="str">
        <f>'Raw Data'!C47</f>
        <v>Monday</v>
      </c>
      <c r="D49" s="20">
        <f>'Raw Data'!D47</f>
        <v>0</v>
      </c>
      <c r="E49" s="20">
        <f>'Raw Data'!E47</f>
        <v>1</v>
      </c>
      <c r="F49" s="20">
        <f>'Raw Data'!F47</f>
        <v>0</v>
      </c>
      <c r="G49" s="22">
        <f>'Raw Data'!G37</f>
        <v>1983</v>
      </c>
      <c r="H49" s="36">
        <f t="shared" si="3"/>
        <v>2950.9830508474574</v>
      </c>
      <c r="I49" s="22">
        <f t="shared" si="4"/>
        <v>-967.98305084745743</v>
      </c>
      <c r="J49" s="37">
        <f t="shared" si="5"/>
        <v>0.48814072155696292</v>
      </c>
    </row>
    <row r="50" spans="1:10" ht="15" customHeight="1" x14ac:dyDescent="0.3">
      <c r="A50" s="16">
        <f>'Raw Data'!A48</f>
        <v>44515</v>
      </c>
      <c r="B50" s="17">
        <f>'Raw Data'!B48</f>
        <v>2</v>
      </c>
      <c r="C50" s="17" t="str">
        <f>'Raw Data'!C48</f>
        <v>Tuesday</v>
      </c>
      <c r="D50" s="17">
        <f>'Raw Data'!D48</f>
        <v>0</v>
      </c>
      <c r="E50" s="17">
        <f>'Raw Data'!E48</f>
        <v>0</v>
      </c>
      <c r="F50" s="17">
        <f>'Raw Data'!F48</f>
        <v>0</v>
      </c>
      <c r="G50" s="18">
        <f>'Raw Data'!G38</f>
        <v>2214</v>
      </c>
      <c r="H50" s="34">
        <f t="shared" si="3"/>
        <v>2950.9830508474574</v>
      </c>
      <c r="I50" s="18">
        <f t="shared" ref="I50:I61" si="6">G50-H50</f>
        <v>-736.98305084745743</v>
      </c>
      <c r="J50" s="35">
        <f t="shared" ref="J50:J61" si="7">ABS((G50-H50)/G50)</f>
        <v>0.33287400670616868</v>
      </c>
    </row>
    <row r="51" spans="1:10" ht="15" customHeight="1" x14ac:dyDescent="0.3">
      <c r="A51" s="19">
        <f>'Raw Data'!A49</f>
        <v>44516</v>
      </c>
      <c r="B51" s="20">
        <f>'Raw Data'!B49</f>
        <v>3</v>
      </c>
      <c r="C51" s="20" t="str">
        <f>'Raw Data'!C49</f>
        <v>Wednesday</v>
      </c>
      <c r="D51" s="20">
        <f>'Raw Data'!D49</f>
        <v>0</v>
      </c>
      <c r="E51" s="20">
        <f>'Raw Data'!E49</f>
        <v>0</v>
      </c>
      <c r="F51" s="20">
        <f>'Raw Data'!F49</f>
        <v>0</v>
      </c>
      <c r="G51" s="22">
        <f>'Raw Data'!G39</f>
        <v>4930</v>
      </c>
      <c r="H51" s="36">
        <f t="shared" si="3"/>
        <v>2950.9830508474574</v>
      </c>
      <c r="I51" s="22">
        <f t="shared" si="6"/>
        <v>1979.0169491525426</v>
      </c>
      <c r="J51" s="37">
        <f t="shared" si="7"/>
        <v>0.40142331625812222</v>
      </c>
    </row>
    <row r="52" spans="1:10" ht="15" customHeight="1" x14ac:dyDescent="0.3">
      <c r="A52" s="16">
        <f>'Raw Data'!A50</f>
        <v>44517</v>
      </c>
      <c r="B52" s="17">
        <f>'Raw Data'!B50</f>
        <v>4</v>
      </c>
      <c r="C52" s="17" t="str">
        <f>'Raw Data'!C50</f>
        <v>Thursday</v>
      </c>
      <c r="D52" s="17">
        <f>'Raw Data'!D50</f>
        <v>0</v>
      </c>
      <c r="E52" s="17">
        <f>'Raw Data'!E50</f>
        <v>0</v>
      </c>
      <c r="F52" s="17">
        <f>'Raw Data'!F50</f>
        <v>0</v>
      </c>
      <c r="G52" s="18">
        <f>'Raw Data'!G50</f>
        <v>2159</v>
      </c>
      <c r="H52" s="34">
        <f t="shared" si="3"/>
        <v>2950.9830508474574</v>
      </c>
      <c r="I52" s="18">
        <f t="shared" si="6"/>
        <v>-791.98305084745743</v>
      </c>
      <c r="J52" s="35">
        <f t="shared" si="7"/>
        <v>0.36682864791452408</v>
      </c>
    </row>
    <row r="53" spans="1:10" ht="15" customHeight="1" x14ac:dyDescent="0.3">
      <c r="A53" s="19">
        <f>'Raw Data'!A51</f>
        <v>44518</v>
      </c>
      <c r="B53" s="20">
        <f>'Raw Data'!B51</f>
        <v>5</v>
      </c>
      <c r="C53" s="20" t="str">
        <f>'Raw Data'!C51</f>
        <v>Friday</v>
      </c>
      <c r="D53" s="20">
        <f>'Raw Data'!D51</f>
        <v>0</v>
      </c>
      <c r="E53" s="20">
        <f>'Raw Data'!E51</f>
        <v>0</v>
      </c>
      <c r="F53" s="20">
        <f>'Raw Data'!F51</f>
        <v>0</v>
      </c>
      <c r="G53" s="22">
        <f>'Raw Data'!G51</f>
        <v>2747</v>
      </c>
      <c r="H53" s="36">
        <f t="shared" si="3"/>
        <v>2950.9830508474574</v>
      </c>
      <c r="I53" s="22">
        <f t="shared" si="6"/>
        <v>-203.98305084745743</v>
      </c>
      <c r="J53" s="37">
        <f t="shared" si="7"/>
        <v>7.4256662121389677E-2</v>
      </c>
    </row>
    <row r="54" spans="1:10" ht="15" customHeight="1" x14ac:dyDescent="0.3">
      <c r="A54" s="16">
        <f>'Raw Data'!A52</f>
        <v>44519</v>
      </c>
      <c r="B54" s="17">
        <f>'Raw Data'!B52</f>
        <v>6</v>
      </c>
      <c r="C54" s="17" t="str">
        <f>'Raw Data'!C52</f>
        <v>Saturday</v>
      </c>
      <c r="D54" s="17">
        <f>'Raw Data'!D52</f>
        <v>0</v>
      </c>
      <c r="E54" s="17">
        <f>'Raw Data'!E52</f>
        <v>0</v>
      </c>
      <c r="F54" s="17">
        <f>'Raw Data'!F52</f>
        <v>0</v>
      </c>
      <c r="G54" s="18">
        <f>'Raw Data'!G52</f>
        <v>2382</v>
      </c>
      <c r="H54" s="34">
        <f t="shared" si="3"/>
        <v>2950.9830508474574</v>
      </c>
      <c r="I54" s="18">
        <f t="shared" si="6"/>
        <v>-568.98305084745743</v>
      </c>
      <c r="J54" s="35">
        <f t="shared" si="7"/>
        <v>0.23886777953293764</v>
      </c>
    </row>
    <row r="55" spans="1:10" ht="15" customHeight="1" x14ac:dyDescent="0.3">
      <c r="A55" s="19">
        <f>'Raw Data'!A53</f>
        <v>44520</v>
      </c>
      <c r="B55" s="20">
        <f>'Raw Data'!B53</f>
        <v>7</v>
      </c>
      <c r="C55" s="20" t="str">
        <f>'Raw Data'!C53</f>
        <v>Sunday</v>
      </c>
      <c r="D55" s="20">
        <f>'Raw Data'!D53</f>
        <v>0</v>
      </c>
      <c r="E55" s="20">
        <f>'Raw Data'!E53</f>
        <v>1</v>
      </c>
      <c r="F55" s="20">
        <f>'Raw Data'!F53</f>
        <v>0</v>
      </c>
      <c r="G55" s="22">
        <f>'Raw Data'!G53</f>
        <v>2551</v>
      </c>
      <c r="H55" s="36">
        <f t="shared" si="3"/>
        <v>2950.9830508474574</v>
      </c>
      <c r="I55" s="22">
        <f t="shared" si="6"/>
        <v>-399.98305084745743</v>
      </c>
      <c r="J55" s="37">
        <f t="shared" si="7"/>
        <v>0.15679461028908562</v>
      </c>
    </row>
    <row r="56" spans="1:10" ht="15" customHeight="1" x14ac:dyDescent="0.3">
      <c r="A56" s="16">
        <f>'Raw Data'!A54</f>
        <v>44521</v>
      </c>
      <c r="B56" s="17">
        <f>'Raw Data'!B54</f>
        <v>1</v>
      </c>
      <c r="C56" s="17" t="str">
        <f>'Raw Data'!C54</f>
        <v>Monday</v>
      </c>
      <c r="D56" s="17">
        <f>'Raw Data'!D54</f>
        <v>0</v>
      </c>
      <c r="E56" s="17">
        <f>'Raw Data'!E54</f>
        <v>1</v>
      </c>
      <c r="F56" s="17">
        <f>'Raw Data'!F54</f>
        <v>0</v>
      </c>
      <c r="G56" s="18">
        <f>'Raw Data'!G54</f>
        <v>3653</v>
      </c>
      <c r="H56" s="34">
        <f t="shared" si="3"/>
        <v>2950.9830508474574</v>
      </c>
      <c r="I56" s="18">
        <f t="shared" si="6"/>
        <v>702.01694915254257</v>
      </c>
      <c r="J56" s="35">
        <f t="shared" si="7"/>
        <v>0.19217545829524843</v>
      </c>
    </row>
    <row r="57" spans="1:10" ht="15" customHeight="1" x14ac:dyDescent="0.3">
      <c r="A57" s="19">
        <f>'Raw Data'!A55</f>
        <v>44522</v>
      </c>
      <c r="B57" s="20">
        <f>'Raw Data'!B55</f>
        <v>2</v>
      </c>
      <c r="C57" s="20" t="str">
        <f>'Raw Data'!C55</f>
        <v>Tuesday</v>
      </c>
      <c r="D57" s="20">
        <f>'Raw Data'!D55</f>
        <v>0</v>
      </c>
      <c r="E57" s="20">
        <f>'Raw Data'!E55</f>
        <v>0</v>
      </c>
      <c r="F57" s="20">
        <f>'Raw Data'!F55</f>
        <v>0</v>
      </c>
      <c r="G57" s="22">
        <f>'Raw Data'!G55</f>
        <v>2375</v>
      </c>
      <c r="H57" s="36">
        <f t="shared" si="3"/>
        <v>2950.9830508474574</v>
      </c>
      <c r="I57" s="22">
        <f t="shared" si="6"/>
        <v>-575.98305084745743</v>
      </c>
      <c r="J57" s="37">
        <f t="shared" si="7"/>
        <v>0.24251917930419262</v>
      </c>
    </row>
    <row r="58" spans="1:10" ht="15" customHeight="1" x14ac:dyDescent="0.3">
      <c r="A58" s="16">
        <f>'Raw Data'!A56</f>
        <v>44523</v>
      </c>
      <c r="B58" s="17">
        <f>'Raw Data'!B56</f>
        <v>3</v>
      </c>
      <c r="C58" s="17" t="str">
        <f>'Raw Data'!C56</f>
        <v>Wednesday</v>
      </c>
      <c r="D58" s="17">
        <f>'Raw Data'!D56</f>
        <v>0</v>
      </c>
      <c r="E58" s="17">
        <f>'Raw Data'!E56</f>
        <v>0</v>
      </c>
      <c r="F58" s="17">
        <f>'Raw Data'!F56</f>
        <v>0</v>
      </c>
      <c r="G58" s="18">
        <f>'Raw Data'!G56</f>
        <v>2545</v>
      </c>
      <c r="H58" s="34">
        <f t="shared" si="3"/>
        <v>2950.9830508474574</v>
      </c>
      <c r="I58" s="18">
        <f t="shared" si="6"/>
        <v>-405.98305084745743</v>
      </c>
      <c r="J58" s="35">
        <f t="shared" si="7"/>
        <v>0.15952182744497345</v>
      </c>
    </row>
    <row r="59" spans="1:10" ht="15" customHeight="1" x14ac:dyDescent="0.3">
      <c r="A59" s="19">
        <f>'Raw Data'!A57</f>
        <v>44524</v>
      </c>
      <c r="B59" s="20">
        <f>'Raw Data'!B57</f>
        <v>4</v>
      </c>
      <c r="C59" s="20" t="str">
        <f>'Raw Data'!C57</f>
        <v>Thursday</v>
      </c>
      <c r="D59" s="20">
        <f>'Raw Data'!D57</f>
        <v>0</v>
      </c>
      <c r="E59" s="20">
        <f>'Raw Data'!E57</f>
        <v>0</v>
      </c>
      <c r="F59" s="20">
        <f>'Raw Data'!F57</f>
        <v>0</v>
      </c>
      <c r="G59" s="22">
        <f>'Raw Data'!G57</f>
        <v>2820</v>
      </c>
      <c r="H59" s="36">
        <f t="shared" si="3"/>
        <v>2950.9830508474574</v>
      </c>
      <c r="I59" s="22">
        <f t="shared" si="6"/>
        <v>-130.98305084745743</v>
      </c>
      <c r="J59" s="37">
        <f t="shared" si="7"/>
        <v>4.6447890371438809E-2</v>
      </c>
    </row>
    <row r="60" spans="1:10" ht="15" customHeight="1" x14ac:dyDescent="0.3">
      <c r="A60" s="16">
        <f>'Raw Data'!A58</f>
        <v>44525</v>
      </c>
      <c r="B60" s="17">
        <f>'Raw Data'!B58</f>
        <v>5</v>
      </c>
      <c r="C60" s="17" t="str">
        <f>'Raw Data'!C58</f>
        <v>Friday</v>
      </c>
      <c r="D60" s="17">
        <f>'Raw Data'!D58</f>
        <v>0</v>
      </c>
      <c r="E60" s="17">
        <f>'Raw Data'!E58</f>
        <v>0</v>
      </c>
      <c r="F60" s="17">
        <f>'Raw Data'!F58</f>
        <v>0</v>
      </c>
      <c r="G60" s="18">
        <f>'Raw Data'!G58</f>
        <v>2149</v>
      </c>
      <c r="H60" s="34">
        <f t="shared" si="3"/>
        <v>2950.9830508474574</v>
      </c>
      <c r="I60" s="18">
        <f t="shared" si="6"/>
        <v>-801.98305084745743</v>
      </c>
      <c r="J60" s="35">
        <f t="shared" si="7"/>
        <v>0.37318894874241854</v>
      </c>
    </row>
    <row r="61" spans="1:10" ht="15" customHeight="1" x14ac:dyDescent="0.3">
      <c r="A61" s="19">
        <f>'Raw Data'!A59</f>
        <v>44526</v>
      </c>
      <c r="B61" s="20">
        <f>'Raw Data'!B59</f>
        <v>6</v>
      </c>
      <c r="C61" s="20" t="str">
        <f>'Raw Data'!C59</f>
        <v>Saturday</v>
      </c>
      <c r="D61" s="20">
        <f>'Raw Data'!D59</f>
        <v>0</v>
      </c>
      <c r="E61" s="20">
        <f>'Raw Data'!E59</f>
        <v>0</v>
      </c>
      <c r="F61" s="20">
        <f>'Raw Data'!F59</f>
        <v>0</v>
      </c>
      <c r="G61" s="22">
        <f>'Raw Data'!G59</f>
        <v>2567</v>
      </c>
      <c r="H61" s="36">
        <f t="shared" si="3"/>
        <v>2950.9830508474574</v>
      </c>
      <c r="I61" s="22">
        <f t="shared" si="6"/>
        <v>-383.98305084745743</v>
      </c>
      <c r="J61" s="37">
        <f t="shared" si="7"/>
        <v>0.14958435950426857</v>
      </c>
    </row>
    <row r="62" spans="1:10" ht="15" customHeight="1" x14ac:dyDescent="0.3">
      <c r="A62" s="16">
        <f>'Raw Data'!A60</f>
        <v>44527</v>
      </c>
      <c r="B62" s="17">
        <f>'Raw Data'!B60</f>
        <v>7</v>
      </c>
      <c r="C62" s="17" t="str">
        <f>'Raw Data'!C60</f>
        <v>Sunday</v>
      </c>
      <c r="D62" s="17">
        <f>'Raw Data'!D60</f>
        <v>0</v>
      </c>
      <c r="E62" s="17">
        <f>'Raw Data'!E60</f>
        <v>1</v>
      </c>
      <c r="F62" s="17">
        <f>'Raw Data'!F60</f>
        <v>0</v>
      </c>
      <c r="G62" s="18">
        <f>'Raw Data'!G60</f>
        <v>3779</v>
      </c>
      <c r="H62" s="34">
        <f t="shared" si="3"/>
        <v>2950.9830508474574</v>
      </c>
      <c r="I62" s="18">
        <f>G61-H62</f>
        <v>-383.98305084745743</v>
      </c>
      <c r="J62" s="35">
        <f>ABS((G61-H62)/G61)</f>
        <v>0.14958435950426857</v>
      </c>
    </row>
    <row r="63" spans="1:10" ht="15" customHeight="1" x14ac:dyDescent="0.3">
      <c r="A63" s="19">
        <f>'Raw Data'!A61</f>
        <v>44528</v>
      </c>
      <c r="B63" s="20">
        <f>'Raw Data'!B61</f>
        <v>1</v>
      </c>
      <c r="C63" s="20" t="str">
        <f>'Raw Data'!C61</f>
        <v>Monday</v>
      </c>
      <c r="D63" s="20">
        <f>'Raw Data'!D61</f>
        <v>0</v>
      </c>
      <c r="E63" s="20">
        <f>'Raw Data'!E61</f>
        <v>1</v>
      </c>
      <c r="F63" s="20">
        <f>'Raw Data'!F61</f>
        <v>0</v>
      </c>
      <c r="G63" s="22">
        <f>'Raw Data'!G61</f>
        <v>2933</v>
      </c>
      <c r="H63" s="36">
        <f t="shared" si="3"/>
        <v>2950.9830508474574</v>
      </c>
      <c r="I63" s="22">
        <f>G63-H63</f>
        <v>-17.983050847457434</v>
      </c>
      <c r="J63" s="37">
        <f>ABS((G63-H63)/G63)</f>
        <v>6.1312822527983066E-3</v>
      </c>
    </row>
    <row r="64" spans="1:10" ht="15" customHeight="1" x14ac:dyDescent="0.3">
      <c r="A64" s="16">
        <f>'Raw Data'!A62</f>
        <v>44529</v>
      </c>
      <c r="B64" s="17">
        <f>'Raw Data'!B61</f>
        <v>1</v>
      </c>
      <c r="C64" s="17" t="str">
        <f>'Raw Data'!C62</f>
        <v>Tuesday</v>
      </c>
      <c r="D64" s="17">
        <f>'Raw Data'!D61</f>
        <v>0</v>
      </c>
      <c r="E64" s="17">
        <f>'Raw Data'!E62</f>
        <v>0</v>
      </c>
      <c r="F64" s="17">
        <f>'Raw Data'!F61</f>
        <v>0</v>
      </c>
      <c r="G64" s="18">
        <f>'Raw Data'!G61</f>
        <v>2933</v>
      </c>
      <c r="H64" s="34">
        <f t="shared" si="3"/>
        <v>2950.9830508474574</v>
      </c>
      <c r="I64" s="18">
        <f>G64-H64</f>
        <v>-17.983050847457434</v>
      </c>
      <c r="J64" s="35">
        <f>ABS((G64-H64)/G64)</f>
        <v>6.1312822527983066E-3</v>
      </c>
    </row>
    <row r="65" spans="1:11" ht="15" customHeight="1" x14ac:dyDescent="0.3">
      <c r="A65" s="10" t="s">
        <v>25</v>
      </c>
      <c r="B65" s="10"/>
      <c r="C65" s="10"/>
      <c r="D65" s="10"/>
      <c r="E65" s="10"/>
      <c r="F65" s="10"/>
      <c r="G65" s="10"/>
      <c r="H65" s="10"/>
      <c r="I65" s="10"/>
      <c r="J65" s="10"/>
    </row>
    <row r="66" spans="1:11" ht="15" customHeight="1" x14ac:dyDescent="0.3">
      <c r="A66" s="25">
        <f>'Raw Data'!A63</f>
        <v>44530</v>
      </c>
      <c r="B66" s="26">
        <f>'Raw Data'!B63</f>
        <v>3</v>
      </c>
      <c r="C66" s="26" t="str">
        <f>'Raw Data'!C63</f>
        <v>Wednesday</v>
      </c>
      <c r="D66" s="26">
        <f>'Raw Data'!D63</f>
        <v>0</v>
      </c>
      <c r="E66" s="26">
        <f>'Raw Data'!E63</f>
        <v>0</v>
      </c>
      <c r="F66" s="26">
        <f>'Raw Data'!F63</f>
        <v>0</v>
      </c>
      <c r="G66" s="27">
        <f>'Raw Data'!G63</f>
        <v>2789</v>
      </c>
      <c r="H66" s="38">
        <f t="shared" ref="H66:H80" si="8">$B$3</f>
        <v>2950.9830508474574</v>
      </c>
      <c r="I66" s="27">
        <f t="shared" ref="I66:I79" si="9">G66-H66</f>
        <v>-161.98305084745743</v>
      </c>
      <c r="J66" s="39">
        <f t="shared" ref="J66:J79" si="10">ABS((G66-H66)/G66)</f>
        <v>5.8079258102351178E-2</v>
      </c>
    </row>
    <row r="67" spans="1:11" ht="15" customHeight="1" x14ac:dyDescent="0.3">
      <c r="A67" s="40">
        <f>'Raw Data'!A64</f>
        <v>44531</v>
      </c>
      <c r="B67" s="41">
        <f>'Raw Data'!B64</f>
        <v>4</v>
      </c>
      <c r="C67" s="41" t="str">
        <f>'Raw Data'!C64</f>
        <v>Thursday</v>
      </c>
      <c r="D67" s="41">
        <f>'Raw Data'!D64</f>
        <v>0</v>
      </c>
      <c r="E67" s="41">
        <f>'Raw Data'!E64</f>
        <v>0</v>
      </c>
      <c r="F67" s="41">
        <f>'Raw Data'!F64</f>
        <v>0</v>
      </c>
      <c r="G67" s="42">
        <f>'Raw Data'!G64</f>
        <v>2400</v>
      </c>
      <c r="H67" s="43">
        <f t="shared" si="8"/>
        <v>2950.9830508474574</v>
      </c>
      <c r="I67" s="42">
        <f t="shared" si="9"/>
        <v>-550.98305084745743</v>
      </c>
      <c r="J67" s="44">
        <f t="shared" si="10"/>
        <v>0.22957627118644061</v>
      </c>
    </row>
    <row r="68" spans="1:11" ht="15" customHeight="1" x14ac:dyDescent="0.3">
      <c r="A68" s="25">
        <f>'Raw Data'!A65</f>
        <v>44532</v>
      </c>
      <c r="B68" s="26">
        <f>'Raw Data'!B65</f>
        <v>5</v>
      </c>
      <c r="C68" s="26" t="str">
        <f>'Raw Data'!C65</f>
        <v>Friday</v>
      </c>
      <c r="D68" s="26">
        <f>'Raw Data'!D65</f>
        <v>0</v>
      </c>
      <c r="E68" s="26">
        <f>'Raw Data'!E65</f>
        <v>0</v>
      </c>
      <c r="F68" s="26">
        <f>'Raw Data'!F65</f>
        <v>0</v>
      </c>
      <c r="G68" s="27">
        <f>'Raw Data'!G65</f>
        <v>2394</v>
      </c>
      <c r="H68" s="38">
        <f t="shared" si="8"/>
        <v>2950.9830508474574</v>
      </c>
      <c r="I68" s="27">
        <f t="shared" si="9"/>
        <v>-556.98305084745743</v>
      </c>
      <c r="J68" s="39">
        <f t="shared" si="10"/>
        <v>0.23265791597638155</v>
      </c>
    </row>
    <row r="69" spans="1:11" ht="15" customHeight="1" x14ac:dyDescent="0.3">
      <c r="A69" s="40">
        <f>'Raw Data'!A66</f>
        <v>44533</v>
      </c>
      <c r="B69" s="41">
        <f>'Raw Data'!B66</f>
        <v>6</v>
      </c>
      <c r="C69" s="41" t="str">
        <f>'Raw Data'!C66</f>
        <v>Saturday</v>
      </c>
      <c r="D69" s="41">
        <f>'Raw Data'!D66</f>
        <v>0</v>
      </c>
      <c r="E69" s="41">
        <f>'Raw Data'!E66</f>
        <v>0</v>
      </c>
      <c r="F69" s="41">
        <f>'Raw Data'!F66</f>
        <v>1</v>
      </c>
      <c r="G69" s="42">
        <f>'Raw Data'!G66</f>
        <v>4678</v>
      </c>
      <c r="H69" s="43">
        <f t="shared" si="8"/>
        <v>2950.9830508474574</v>
      </c>
      <c r="I69" s="42">
        <f t="shared" si="9"/>
        <v>1727.0169491525426</v>
      </c>
      <c r="J69" s="44">
        <f t="shared" si="10"/>
        <v>0.36917848421388255</v>
      </c>
    </row>
    <row r="70" spans="1:11" ht="15" customHeight="1" x14ac:dyDescent="0.3">
      <c r="A70" s="25">
        <f>'Raw Data'!A67</f>
        <v>44534</v>
      </c>
      <c r="B70" s="26">
        <f>'Raw Data'!B67</f>
        <v>7</v>
      </c>
      <c r="C70" s="26" t="str">
        <f>'Raw Data'!C67</f>
        <v>Sunday</v>
      </c>
      <c r="D70" s="26">
        <f>'Raw Data'!D67</f>
        <v>0</v>
      </c>
      <c r="E70" s="26">
        <f>'Raw Data'!E67</f>
        <v>1</v>
      </c>
      <c r="F70" s="26">
        <f>'Raw Data'!F67</f>
        <v>0</v>
      </c>
      <c r="G70" s="27">
        <f>'Raw Data'!G67</f>
        <v>3483</v>
      </c>
      <c r="H70" s="38">
        <f t="shared" si="8"/>
        <v>2950.9830508474574</v>
      </c>
      <c r="I70" s="27">
        <f t="shared" si="9"/>
        <v>532.01694915254257</v>
      </c>
      <c r="J70" s="39">
        <f t="shared" si="10"/>
        <v>0.15274675542708657</v>
      </c>
    </row>
    <row r="71" spans="1:11" ht="15" customHeight="1" x14ac:dyDescent="0.3">
      <c r="A71" s="40">
        <f>'Raw Data'!A68</f>
        <v>44535</v>
      </c>
      <c r="B71" s="41">
        <f>'Raw Data'!B68</f>
        <v>1</v>
      </c>
      <c r="C71" s="41" t="str">
        <f>'Raw Data'!C68</f>
        <v>Monday</v>
      </c>
      <c r="D71" s="41">
        <f>'Raw Data'!D68</f>
        <v>0</v>
      </c>
      <c r="E71" s="41">
        <f>'Raw Data'!E68</f>
        <v>1</v>
      </c>
      <c r="F71" s="41">
        <f>'Raw Data'!F68</f>
        <v>0</v>
      </c>
      <c r="G71" s="42">
        <f>'Raw Data'!G68</f>
        <v>3349</v>
      </c>
      <c r="H71" s="43">
        <f t="shared" si="8"/>
        <v>2950.9830508474574</v>
      </c>
      <c r="I71" s="42">
        <f t="shared" si="9"/>
        <v>398.01694915254257</v>
      </c>
      <c r="J71" s="44">
        <f t="shared" si="10"/>
        <v>0.11884650616677891</v>
      </c>
    </row>
    <row r="72" spans="1:11" ht="15" customHeight="1" x14ac:dyDescent="0.3">
      <c r="A72" s="25">
        <f>'Raw Data'!A69</f>
        <v>44536</v>
      </c>
      <c r="B72" s="26">
        <f>'Raw Data'!B69</f>
        <v>2</v>
      </c>
      <c r="C72" s="26" t="str">
        <f>'Raw Data'!C69</f>
        <v>Tuesday</v>
      </c>
      <c r="D72" s="26">
        <f>'Raw Data'!D69</f>
        <v>0</v>
      </c>
      <c r="E72" s="26">
        <f>'Raw Data'!E69</f>
        <v>0</v>
      </c>
      <c r="F72" s="26">
        <f>'Raw Data'!F69</f>
        <v>0</v>
      </c>
      <c r="G72" s="27">
        <f>'Raw Data'!G69</f>
        <v>2394</v>
      </c>
      <c r="H72" s="38">
        <f t="shared" si="8"/>
        <v>2950.9830508474574</v>
      </c>
      <c r="I72" s="27">
        <f t="shared" si="9"/>
        <v>-556.98305084745743</v>
      </c>
      <c r="J72" s="39">
        <f t="shared" si="10"/>
        <v>0.23265791597638155</v>
      </c>
    </row>
    <row r="73" spans="1:11" ht="15" customHeight="1" x14ac:dyDescent="0.3">
      <c r="A73" s="40">
        <f>'Raw Data'!A70</f>
        <v>44537</v>
      </c>
      <c r="B73" s="41">
        <f>'Raw Data'!B70</f>
        <v>3</v>
      </c>
      <c r="C73" s="41" t="str">
        <f>'Raw Data'!C70</f>
        <v>Wednesday</v>
      </c>
      <c r="D73" s="41">
        <f>'Raw Data'!D70</f>
        <v>0</v>
      </c>
      <c r="E73" s="41">
        <f>'Raw Data'!E70</f>
        <v>0</v>
      </c>
      <c r="F73" s="41">
        <f>'Raw Data'!F70</f>
        <v>0</v>
      </c>
      <c r="G73" s="42">
        <f>'Raw Data'!G70</f>
        <v>2567</v>
      </c>
      <c r="H73" s="43">
        <f t="shared" si="8"/>
        <v>2950.9830508474574</v>
      </c>
      <c r="I73" s="42">
        <f t="shared" si="9"/>
        <v>-383.98305084745743</v>
      </c>
      <c r="J73" s="44">
        <f t="shared" si="10"/>
        <v>0.14958435950426857</v>
      </c>
    </row>
    <row r="74" spans="1:11" ht="15" customHeight="1" x14ac:dyDescent="0.3">
      <c r="A74" s="25">
        <f>'Raw Data'!A71</f>
        <v>44538</v>
      </c>
      <c r="B74" s="26">
        <f>'Raw Data'!B71</f>
        <v>4</v>
      </c>
      <c r="C74" s="26" t="str">
        <f>'Raw Data'!C71</f>
        <v>Thursday</v>
      </c>
      <c r="D74" s="26">
        <f>'Raw Data'!D71</f>
        <v>0</v>
      </c>
      <c r="E74" s="26">
        <f>'Raw Data'!E71</f>
        <v>0</v>
      </c>
      <c r="F74" s="26">
        <f>'Raw Data'!F71</f>
        <v>0</v>
      </c>
      <c r="G74" s="27">
        <f>'Raw Data'!G71</f>
        <v>2789</v>
      </c>
      <c r="H74" s="38">
        <f t="shared" si="8"/>
        <v>2950.9830508474574</v>
      </c>
      <c r="I74" s="27">
        <f t="shared" si="9"/>
        <v>-161.98305084745743</v>
      </c>
      <c r="J74" s="39">
        <f t="shared" si="10"/>
        <v>5.8079258102351178E-2</v>
      </c>
    </row>
    <row r="75" spans="1:11" ht="15" customHeight="1" x14ac:dyDescent="0.3">
      <c r="A75" s="40">
        <f>'Raw Data'!A72</f>
        <v>44539</v>
      </c>
      <c r="B75" s="41">
        <f>'Raw Data'!B72</f>
        <v>5</v>
      </c>
      <c r="C75" s="41" t="str">
        <f>'Raw Data'!C72</f>
        <v>Friday</v>
      </c>
      <c r="D75" s="41">
        <f>'Raw Data'!D72</f>
        <v>0</v>
      </c>
      <c r="E75" s="41">
        <f>'Raw Data'!E72</f>
        <v>0</v>
      </c>
      <c r="F75" s="41">
        <f>'Raw Data'!F72</f>
        <v>0</v>
      </c>
      <c r="G75" s="42">
        <f>'Raw Data'!G72</f>
        <v>2349</v>
      </c>
      <c r="H75" s="43">
        <f t="shared" si="8"/>
        <v>2950.9830508474574</v>
      </c>
      <c r="I75" s="42">
        <f t="shared" si="9"/>
        <v>-601.98305084745743</v>
      </c>
      <c r="J75" s="44">
        <f t="shared" si="10"/>
        <v>0.25627205229776817</v>
      </c>
    </row>
    <row r="76" spans="1:11" ht="15" customHeight="1" x14ac:dyDescent="0.3">
      <c r="A76" s="25">
        <f>'Raw Data'!A73</f>
        <v>44540</v>
      </c>
      <c r="B76" s="26">
        <f>'Raw Data'!B73</f>
        <v>6</v>
      </c>
      <c r="C76" s="26" t="str">
        <f>'Raw Data'!C73</f>
        <v>Saturday</v>
      </c>
      <c r="D76" s="26">
        <f>'Raw Data'!D73</f>
        <v>0</v>
      </c>
      <c r="E76" s="26">
        <f>'Raw Data'!E73</f>
        <v>0</v>
      </c>
      <c r="F76" s="26">
        <f>'Raw Data'!F73</f>
        <v>0</v>
      </c>
      <c r="G76" s="27">
        <f>'Raw Data'!G73</f>
        <v>3199</v>
      </c>
      <c r="H76" s="38">
        <f t="shared" si="8"/>
        <v>2950.9830508474574</v>
      </c>
      <c r="I76" s="27">
        <f t="shared" si="9"/>
        <v>248.01694915254257</v>
      </c>
      <c r="J76" s="39">
        <f t="shared" si="10"/>
        <v>7.7529524586602866E-2</v>
      </c>
    </row>
    <row r="77" spans="1:11" ht="15" customHeight="1" x14ac:dyDescent="0.3">
      <c r="A77" s="40">
        <f>'Raw Data'!A74</f>
        <v>44541</v>
      </c>
      <c r="B77" s="41">
        <f>'Raw Data'!B74</f>
        <v>7</v>
      </c>
      <c r="C77" s="41" t="str">
        <f>'Raw Data'!C74</f>
        <v>Sunday</v>
      </c>
      <c r="D77" s="41">
        <f>'Raw Data'!D74</f>
        <v>0</v>
      </c>
      <c r="E77" s="41">
        <f>'Raw Data'!E74</f>
        <v>1</v>
      </c>
      <c r="F77" s="41">
        <f>'Raw Data'!F74</f>
        <v>0</v>
      </c>
      <c r="G77" s="42">
        <f>'Raw Data'!G74</f>
        <v>3298</v>
      </c>
      <c r="H77" s="43">
        <f t="shared" si="8"/>
        <v>2950.9830508474574</v>
      </c>
      <c r="I77" s="42">
        <f t="shared" si="9"/>
        <v>347.01694915254257</v>
      </c>
      <c r="J77" s="44">
        <f t="shared" si="10"/>
        <v>0.10522042121059508</v>
      </c>
    </row>
    <row r="78" spans="1:11" ht="15" customHeight="1" x14ac:dyDescent="0.3">
      <c r="A78" s="25">
        <f>'Raw Data'!A75</f>
        <v>44542</v>
      </c>
      <c r="B78" s="26">
        <f>'Raw Data'!B75</f>
        <v>1</v>
      </c>
      <c r="C78" s="26" t="str">
        <f>'Raw Data'!C75</f>
        <v>Monday</v>
      </c>
      <c r="D78" s="26">
        <f>'Raw Data'!D75</f>
        <v>0</v>
      </c>
      <c r="E78" s="26">
        <f>'Raw Data'!E75</f>
        <v>1</v>
      </c>
      <c r="F78" s="26">
        <f>'Raw Data'!F75</f>
        <v>0</v>
      </c>
      <c r="G78" s="27">
        <f>'Raw Data'!G75</f>
        <v>3879</v>
      </c>
      <c r="H78" s="38">
        <f t="shared" si="8"/>
        <v>2950.9830508474574</v>
      </c>
      <c r="I78" s="27">
        <f t="shared" si="9"/>
        <v>928.01694915254257</v>
      </c>
      <c r="J78" s="39">
        <f t="shared" si="10"/>
        <v>0.23924128619555107</v>
      </c>
    </row>
    <row r="79" spans="1:11" ht="15" customHeight="1" x14ac:dyDescent="0.3">
      <c r="A79" s="40">
        <f>'Raw Data'!A76</f>
        <v>44543</v>
      </c>
      <c r="B79" s="41">
        <f>'Raw Data'!B76</f>
        <v>2</v>
      </c>
      <c r="C79" s="41" t="str">
        <f>'Raw Data'!C76</f>
        <v>Tuesday</v>
      </c>
      <c r="D79" s="41">
        <f>'Raw Data'!D76</f>
        <v>0</v>
      </c>
      <c r="E79" s="41">
        <f>'Raw Data'!E76</f>
        <v>0</v>
      </c>
      <c r="F79" s="41">
        <f>'Raw Data'!F76</f>
        <v>0</v>
      </c>
      <c r="G79" s="42">
        <f>'Raw Data'!G76</f>
        <v>2394</v>
      </c>
      <c r="H79" s="43">
        <f t="shared" si="8"/>
        <v>2950.9830508474574</v>
      </c>
      <c r="I79" s="42">
        <f t="shared" si="9"/>
        <v>-556.98305084745743</v>
      </c>
      <c r="J79" s="44">
        <f t="shared" si="10"/>
        <v>0.23265791597638155</v>
      </c>
    </row>
    <row r="80" spans="1:11" ht="15" customHeight="1" x14ac:dyDescent="0.3">
      <c r="A80" s="25">
        <f>'Raw Data'!A77</f>
        <v>44544</v>
      </c>
      <c r="B80" s="26">
        <f>'Raw Data'!B77</f>
        <v>3</v>
      </c>
      <c r="C80" s="26" t="str">
        <f>'Raw Data'!C77</f>
        <v>Wednesday</v>
      </c>
      <c r="D80" s="26">
        <f>'Raw Data'!D77</f>
        <v>0</v>
      </c>
      <c r="E80" s="26">
        <f>'Raw Data'!E77</f>
        <v>0</v>
      </c>
      <c r="F80" s="26">
        <f>'Raw Data'!F77</f>
        <v>0</v>
      </c>
      <c r="G80" s="27" t="str">
        <f>'Raw Data'!G77</f>
        <v>—</v>
      </c>
      <c r="H80" s="38">
        <f t="shared" si="8"/>
        <v>2950.9830508474574</v>
      </c>
      <c r="I80" s="27" t="s">
        <v>15</v>
      </c>
      <c r="J80" s="39" t="s">
        <v>15</v>
      </c>
      <c r="K80" t="s">
        <v>26</v>
      </c>
    </row>
    <row r="82" spans="1:10" ht="15.75" customHeight="1" x14ac:dyDescent="0.3">
      <c r="A82" s="9" t="s">
        <v>27</v>
      </c>
      <c r="B82" s="9"/>
      <c r="C82" s="9"/>
      <c r="D82" s="9"/>
      <c r="E82" s="9"/>
      <c r="F82" s="9"/>
      <c r="G82" s="9"/>
      <c r="H82" s="45" t="s">
        <v>28</v>
      </c>
      <c r="I82" s="46">
        <f>AVERAGE(J66:J79)</f>
        <v>0.17945199463734438</v>
      </c>
      <c r="J82" s="47"/>
    </row>
    <row r="84" spans="1:10" ht="15" customHeight="1" x14ac:dyDescent="0.3">
      <c r="A84" s="8" t="s">
        <v>29</v>
      </c>
      <c r="B84" s="8"/>
      <c r="C84" s="8"/>
      <c r="D84" s="8"/>
      <c r="E84" s="8"/>
      <c r="F84" s="8"/>
      <c r="G84" s="8"/>
      <c r="H84" s="8"/>
      <c r="I84" s="8"/>
      <c r="J84" s="8"/>
    </row>
    <row r="85" spans="1:10" ht="15" customHeight="1" x14ac:dyDescent="0.3">
      <c r="A85" s="48">
        <f>'Raw Data'!A78</f>
        <v>44545</v>
      </c>
      <c r="B85" s="49">
        <f>'Raw Data'!B78</f>
        <v>4</v>
      </c>
      <c r="C85" s="49" t="str">
        <f>'Raw Data'!C78</f>
        <v>Thursday</v>
      </c>
      <c r="D85" s="49">
        <f>'Raw Data'!D78</f>
        <v>0</v>
      </c>
      <c r="E85" s="49">
        <f>'Raw Data'!E78</f>
        <v>0</v>
      </c>
      <c r="F85" s="49">
        <f>'Raw Data'!F78</f>
        <v>0</v>
      </c>
      <c r="G85" s="49" t="s">
        <v>15</v>
      </c>
      <c r="H85" s="50">
        <f>$B$3</f>
        <v>2950.9830508474574</v>
      </c>
      <c r="I85" s="51" t="s">
        <v>15</v>
      </c>
      <c r="J85" s="51" t="s">
        <v>15</v>
      </c>
    </row>
    <row r="86" spans="1:10" ht="15" customHeight="1" x14ac:dyDescent="0.3">
      <c r="A86" s="52">
        <f>'Raw Data'!A79</f>
        <v>44546</v>
      </c>
      <c r="B86" s="53">
        <f>'Raw Data'!B79</f>
        <v>5</v>
      </c>
      <c r="C86" s="53" t="str">
        <f>'Raw Data'!C79</f>
        <v>Friday</v>
      </c>
      <c r="D86" s="53">
        <f>'Raw Data'!D79</f>
        <v>0</v>
      </c>
      <c r="E86" s="53">
        <f>'Raw Data'!E79</f>
        <v>0</v>
      </c>
      <c r="F86" s="53">
        <f>'Raw Data'!F79</f>
        <v>0</v>
      </c>
      <c r="G86" s="53" t="s">
        <v>15</v>
      </c>
      <c r="H86" s="50">
        <f>$B$3</f>
        <v>2950.9830508474574</v>
      </c>
      <c r="I86" s="54" t="s">
        <v>15</v>
      </c>
      <c r="J86" s="54" t="s">
        <v>15</v>
      </c>
    </row>
    <row r="87" spans="1:10" ht="15" customHeight="1" x14ac:dyDescent="0.3">
      <c r="A87" s="48">
        <f>'Raw Data'!A80</f>
        <v>44547</v>
      </c>
      <c r="B87" s="49">
        <f>'Raw Data'!B80</f>
        <v>6</v>
      </c>
      <c r="C87" s="49" t="str">
        <f>'Raw Data'!C80</f>
        <v>Saturday</v>
      </c>
      <c r="D87" s="49">
        <f>'Raw Data'!D80</f>
        <v>0</v>
      </c>
      <c r="E87" s="49">
        <f>'Raw Data'!E80</f>
        <v>0</v>
      </c>
      <c r="F87" s="49">
        <f>'Raw Data'!F80</f>
        <v>0</v>
      </c>
      <c r="G87" s="49" t="s">
        <v>15</v>
      </c>
      <c r="H87" s="50">
        <f>$B$3</f>
        <v>2950.9830508474574</v>
      </c>
      <c r="I87" s="51" t="s">
        <v>15</v>
      </c>
      <c r="J87" s="51" t="s">
        <v>15</v>
      </c>
    </row>
    <row r="88" spans="1:10" ht="15" customHeight="1" x14ac:dyDescent="0.3">
      <c r="A88" s="52">
        <f>'Raw Data'!A81</f>
        <v>44548</v>
      </c>
      <c r="B88" s="53">
        <f>'Raw Data'!B81</f>
        <v>7</v>
      </c>
      <c r="C88" s="53" t="str">
        <f>'Raw Data'!C81</f>
        <v>Sunday</v>
      </c>
      <c r="D88" s="53">
        <f>'Raw Data'!D81</f>
        <v>1</v>
      </c>
      <c r="E88" s="53">
        <f>'Raw Data'!E81</f>
        <v>1</v>
      </c>
      <c r="F88" s="53">
        <f>'Raw Data'!F81</f>
        <v>0</v>
      </c>
      <c r="G88" s="53" t="s">
        <v>15</v>
      </c>
      <c r="H88" s="50">
        <f t="shared" ref="H85:H96" si="11">$B$3</f>
        <v>2950.9830508474574</v>
      </c>
      <c r="I88" s="54" t="s">
        <v>15</v>
      </c>
      <c r="J88" s="54" t="s">
        <v>15</v>
      </c>
    </row>
    <row r="89" spans="1:10" ht="15" customHeight="1" x14ac:dyDescent="0.3">
      <c r="A89" s="48">
        <f>'Raw Data'!A82</f>
        <v>44549</v>
      </c>
      <c r="B89" s="49">
        <f>'Raw Data'!B82</f>
        <v>1</v>
      </c>
      <c r="C89" s="49" t="str">
        <f>'Raw Data'!C82</f>
        <v>Monday</v>
      </c>
      <c r="D89" s="49">
        <f>'Raw Data'!D82</f>
        <v>1</v>
      </c>
      <c r="E89" s="49">
        <f>'Raw Data'!E82</f>
        <v>1</v>
      </c>
      <c r="F89" s="49">
        <f>'Raw Data'!F82</f>
        <v>0</v>
      </c>
      <c r="G89" s="49" t="s">
        <v>15</v>
      </c>
      <c r="H89" s="50">
        <f t="shared" si="11"/>
        <v>2950.9830508474574</v>
      </c>
      <c r="I89" s="51" t="s">
        <v>15</v>
      </c>
      <c r="J89" s="51" t="s">
        <v>15</v>
      </c>
    </row>
    <row r="90" spans="1:10" ht="15" customHeight="1" x14ac:dyDescent="0.3">
      <c r="A90" s="52">
        <f>'Raw Data'!A83</f>
        <v>44550</v>
      </c>
      <c r="B90" s="53">
        <f>'Raw Data'!B83</f>
        <v>2</v>
      </c>
      <c r="C90" s="53" t="str">
        <f>'Raw Data'!C83</f>
        <v>Tuesday</v>
      </c>
      <c r="D90" s="53">
        <f>'Raw Data'!D83</f>
        <v>1</v>
      </c>
      <c r="E90" s="53">
        <f>'Raw Data'!E83</f>
        <v>0</v>
      </c>
      <c r="F90" s="53">
        <f>'Raw Data'!F83</f>
        <v>0</v>
      </c>
      <c r="G90" s="53" t="s">
        <v>15</v>
      </c>
      <c r="H90" s="50">
        <f t="shared" si="11"/>
        <v>2950.9830508474574</v>
      </c>
      <c r="I90" s="54" t="s">
        <v>15</v>
      </c>
      <c r="J90" s="54" t="s">
        <v>15</v>
      </c>
    </row>
    <row r="91" spans="1:10" ht="15" customHeight="1" x14ac:dyDescent="0.3">
      <c r="A91" s="48">
        <f>'Raw Data'!A84</f>
        <v>44551</v>
      </c>
      <c r="B91" s="49">
        <f>'Raw Data'!B84</f>
        <v>3</v>
      </c>
      <c r="C91" s="49" t="str">
        <f>'Raw Data'!C84</f>
        <v>Wednesday</v>
      </c>
      <c r="D91" s="49">
        <f>'Raw Data'!D84</f>
        <v>1</v>
      </c>
      <c r="E91" s="49">
        <f>'Raw Data'!E84</f>
        <v>0</v>
      </c>
      <c r="F91" s="49">
        <f>'Raw Data'!F84</f>
        <v>1</v>
      </c>
      <c r="G91" s="49" t="s">
        <v>15</v>
      </c>
      <c r="H91" s="50">
        <f t="shared" si="11"/>
        <v>2950.9830508474574</v>
      </c>
      <c r="I91" s="51" t="s">
        <v>15</v>
      </c>
      <c r="J91" s="51" t="s">
        <v>15</v>
      </c>
    </row>
    <row r="92" spans="1:10" ht="15" customHeight="1" x14ac:dyDescent="0.3">
      <c r="A92" s="52">
        <f>'Raw Data'!A85</f>
        <v>44552</v>
      </c>
      <c r="B92" s="53">
        <f>'Raw Data'!B85</f>
        <v>4</v>
      </c>
      <c r="C92" s="53" t="str">
        <f>'Raw Data'!C85</f>
        <v>Thursday</v>
      </c>
      <c r="D92" s="53">
        <f>'Raw Data'!D85</f>
        <v>1</v>
      </c>
      <c r="E92" s="53">
        <f>'Raw Data'!E85</f>
        <v>0</v>
      </c>
      <c r="F92" s="53">
        <f>'Raw Data'!F85</f>
        <v>0</v>
      </c>
      <c r="G92" s="53" t="s">
        <v>15</v>
      </c>
      <c r="H92" s="50">
        <f t="shared" si="11"/>
        <v>2950.9830508474574</v>
      </c>
      <c r="I92" s="54" t="s">
        <v>15</v>
      </c>
      <c r="J92" s="54" t="s">
        <v>15</v>
      </c>
    </row>
    <row r="93" spans="1:10" ht="15" customHeight="1" x14ac:dyDescent="0.3">
      <c r="A93" s="48">
        <f>'Raw Data'!A86</f>
        <v>44553</v>
      </c>
      <c r="B93" s="49">
        <f>'Raw Data'!B86</f>
        <v>5</v>
      </c>
      <c r="C93" s="49" t="str">
        <f>'Raw Data'!C86</f>
        <v>Friday</v>
      </c>
      <c r="D93" s="49">
        <f>'Raw Data'!D86</f>
        <v>1</v>
      </c>
      <c r="E93" s="49">
        <f>'Raw Data'!E86</f>
        <v>0</v>
      </c>
      <c r="F93" s="49">
        <f>'Raw Data'!F86</f>
        <v>0</v>
      </c>
      <c r="G93" s="49" t="s">
        <v>15</v>
      </c>
      <c r="H93" s="50">
        <f t="shared" si="11"/>
        <v>2950.9830508474574</v>
      </c>
      <c r="I93" s="51" t="s">
        <v>15</v>
      </c>
      <c r="J93" s="51" t="s">
        <v>15</v>
      </c>
    </row>
    <row r="94" spans="1:10" ht="15" customHeight="1" x14ac:dyDescent="0.3">
      <c r="A94" s="52">
        <f>'Raw Data'!A87</f>
        <v>44554</v>
      </c>
      <c r="B94" s="53">
        <f>'Raw Data'!B87</f>
        <v>6</v>
      </c>
      <c r="C94" s="53" t="str">
        <f>'Raw Data'!C87</f>
        <v>Saturday</v>
      </c>
      <c r="D94" s="53">
        <f>'Raw Data'!D87</f>
        <v>1</v>
      </c>
      <c r="E94" s="53">
        <f>'Raw Data'!E87</f>
        <v>0</v>
      </c>
      <c r="F94" s="53">
        <f>'Raw Data'!F87</f>
        <v>0</v>
      </c>
      <c r="G94" s="53" t="s">
        <v>15</v>
      </c>
      <c r="H94" s="50">
        <f t="shared" si="11"/>
        <v>2950.9830508474574</v>
      </c>
      <c r="I94" s="54" t="s">
        <v>15</v>
      </c>
      <c r="J94" s="54" t="s">
        <v>15</v>
      </c>
    </row>
    <row r="95" spans="1:10" ht="15" customHeight="1" x14ac:dyDescent="0.3">
      <c r="A95" s="48">
        <f>'Raw Data'!A88</f>
        <v>44555</v>
      </c>
      <c r="B95" s="49">
        <f>'Raw Data'!B88</f>
        <v>7</v>
      </c>
      <c r="C95" s="49" t="str">
        <f>'Raw Data'!C88</f>
        <v>Sunday</v>
      </c>
      <c r="D95" s="49">
        <f>'Raw Data'!D88</f>
        <v>1</v>
      </c>
      <c r="E95" s="49">
        <f>'Raw Data'!E88</f>
        <v>1</v>
      </c>
      <c r="F95" s="49">
        <f>'Raw Data'!F88</f>
        <v>0</v>
      </c>
      <c r="G95" s="49" t="s">
        <v>15</v>
      </c>
      <c r="H95" s="50">
        <f t="shared" si="11"/>
        <v>2950.9830508474574</v>
      </c>
      <c r="I95" s="51" t="s">
        <v>15</v>
      </c>
      <c r="J95" s="51" t="s">
        <v>15</v>
      </c>
    </row>
    <row r="96" spans="1:10" ht="15" customHeight="1" x14ac:dyDescent="0.3">
      <c r="A96" s="52">
        <f>'Raw Data'!A89</f>
        <v>0</v>
      </c>
      <c r="B96" s="53">
        <f>'Raw Data'!B89</f>
        <v>0</v>
      </c>
      <c r="C96" s="53">
        <f>'Raw Data'!C89</f>
        <v>0</v>
      </c>
      <c r="D96" s="53">
        <f>'Raw Data'!D89</f>
        <v>0</v>
      </c>
      <c r="E96" s="53">
        <f>'Raw Data'!E89</f>
        <v>0</v>
      </c>
      <c r="F96" s="53">
        <f>'Raw Data'!F89</f>
        <v>0</v>
      </c>
      <c r="G96" s="53" t="s">
        <v>15</v>
      </c>
      <c r="H96" s="50">
        <f t="shared" si="11"/>
        <v>2950.9830508474574</v>
      </c>
      <c r="I96" s="54" t="s">
        <v>15</v>
      </c>
      <c r="J96" s="54" t="s">
        <v>15</v>
      </c>
    </row>
  </sheetData>
  <mergeCells count="7">
    <mergeCell ref="A82:G82"/>
    <mergeCell ref="A84:J84"/>
    <mergeCell ref="A1:J1"/>
    <mergeCell ref="A2:J2"/>
    <mergeCell ref="C3:J3"/>
    <mergeCell ref="A5:J5"/>
    <mergeCell ref="A65:J6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8"/>
  <sheetViews>
    <sheetView showGridLines="0" zoomScaleNormal="100" workbookViewId="0">
      <pane ySplit="6" topLeftCell="A69" activePane="bottomLeft" state="frozen"/>
      <selection pane="bottomLeft" activeCell="M85" sqref="M85"/>
    </sheetView>
  </sheetViews>
  <sheetFormatPr defaultColWidth="8.6640625" defaultRowHeight="14.4" x14ac:dyDescent="0.3"/>
  <cols>
    <col min="1" max="1" width="13" customWidth="1"/>
    <col min="2" max="2" width="8" customWidth="1"/>
    <col min="3" max="3" width="13" customWidth="1"/>
    <col min="4" max="5" width="10" customWidth="1"/>
    <col min="6" max="7" width="12" customWidth="1"/>
    <col min="8" max="8" width="16" customWidth="1"/>
    <col min="9" max="9" width="8" customWidth="1"/>
    <col min="10" max="10" width="13" customWidth="1"/>
    <col min="11" max="11" width="22" customWidth="1"/>
    <col min="12" max="12" width="14" customWidth="1"/>
    <col min="13" max="13" width="16" customWidth="1"/>
    <col min="14" max="14" width="8" customWidth="1"/>
    <col min="15" max="15" width="13" customWidth="1"/>
    <col min="16" max="16" width="14" customWidth="1"/>
  </cols>
  <sheetData>
    <row r="1" spans="1:16" ht="25.5" customHeight="1" x14ac:dyDescent="0.3">
      <c r="A1" s="14" t="s">
        <v>30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6" ht="27.75" customHeight="1" x14ac:dyDescent="0.3">
      <c r="A2" s="13" t="s">
        <v>31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6" ht="21.75" customHeight="1" x14ac:dyDescent="0.3">
      <c r="I3" s="7" t="s">
        <v>32</v>
      </c>
      <c r="J3" s="7"/>
      <c r="K3" s="7"/>
    </row>
    <row r="4" spans="1:16" ht="15" customHeight="1" x14ac:dyDescent="0.3">
      <c r="I4" s="55" t="s">
        <v>33</v>
      </c>
      <c r="J4" s="55" t="s">
        <v>3</v>
      </c>
      <c r="K4" s="55" t="s">
        <v>34</v>
      </c>
      <c r="N4" s="56" t="s">
        <v>2</v>
      </c>
      <c r="O4" s="56" t="s">
        <v>3</v>
      </c>
      <c r="P4" s="56" t="s">
        <v>35</v>
      </c>
    </row>
    <row r="5" spans="1:16" ht="15" customHeight="1" x14ac:dyDescent="0.3">
      <c r="I5" s="57">
        <v>1</v>
      </c>
      <c r="J5" s="21" t="s">
        <v>10</v>
      </c>
      <c r="K5" s="58">
        <f>AVERAGEIF('Raw Data'!B3:B61,1,'Raw Data'!G3:G61)</f>
        <v>3684.1111111111113</v>
      </c>
      <c r="N5" s="59">
        <v>1</v>
      </c>
      <c r="O5" s="59" t="s">
        <v>10</v>
      </c>
      <c r="P5" s="60">
        <f>AVERAGEIF('Raw Data'!B3:B61,1,'Raw Data'!G3:G61)</f>
        <v>3684.1111111111113</v>
      </c>
    </row>
    <row r="6" spans="1:16" ht="27.75" customHeight="1" x14ac:dyDescent="0.3">
      <c r="A6" s="15" t="s">
        <v>1</v>
      </c>
      <c r="B6" s="15" t="s">
        <v>2</v>
      </c>
      <c r="C6" s="15" t="s">
        <v>3</v>
      </c>
      <c r="D6" s="15" t="s">
        <v>4</v>
      </c>
      <c r="E6" s="15" t="s">
        <v>5</v>
      </c>
      <c r="F6" s="15" t="s">
        <v>6</v>
      </c>
      <c r="G6" s="15" t="s">
        <v>20</v>
      </c>
      <c r="H6" s="15" t="s">
        <v>36</v>
      </c>
      <c r="I6" s="61">
        <v>2</v>
      </c>
      <c r="J6" s="62" t="s">
        <v>11</v>
      </c>
      <c r="K6" s="63">
        <f>AVERAGEIF('Raw Data'!B3:B61,2,'Raw Data'!G3:G61)</f>
        <v>2327.75</v>
      </c>
      <c r="L6" s="15" t="s">
        <v>22</v>
      </c>
      <c r="M6" s="15" t="s">
        <v>23</v>
      </c>
      <c r="N6" s="64">
        <v>2</v>
      </c>
      <c r="O6" s="64" t="s">
        <v>11</v>
      </c>
      <c r="P6" s="65">
        <f>AVERAGEIF('Raw Data'!B3:B61,2,'Raw Data'!G3:G61)</f>
        <v>2327.75</v>
      </c>
    </row>
    <row r="7" spans="1:16" ht="15" customHeight="1" x14ac:dyDescent="0.3">
      <c r="A7" s="6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N7" s="59">
        <v>3</v>
      </c>
      <c r="O7" s="59" t="s">
        <v>12</v>
      </c>
      <c r="P7" s="60">
        <f>AVERAGEIF('Raw Data'!B3:B61,3,'Raw Data'!G3:G61)</f>
        <v>2795.5</v>
      </c>
    </row>
    <row r="8" spans="1:16" ht="15" customHeight="1" x14ac:dyDescent="0.3">
      <c r="A8" s="16">
        <f>'Raw Data'!A4</f>
        <v>44471</v>
      </c>
      <c r="B8" s="17">
        <f>'Raw Data'!B4</f>
        <v>7</v>
      </c>
      <c r="C8" s="17" t="str">
        <f>'Raw Data'!C4</f>
        <v>Sunday</v>
      </c>
      <c r="D8" s="17">
        <f>'Raw Data'!D4</f>
        <v>0</v>
      </c>
      <c r="E8" s="17">
        <f>'Raw Data'!E4</f>
        <v>1</v>
      </c>
      <c r="F8" s="17">
        <f>'Raw Data'!F4</f>
        <v>0</v>
      </c>
      <c r="G8" s="18">
        <f>'Raw Data'!G3</f>
        <v>2042</v>
      </c>
      <c r="H8" s="34">
        <f t="shared" ref="H8:H39" si="0">VLOOKUP(B8,$N$5:$P$11,3,FALSE())</f>
        <v>3670</v>
      </c>
      <c r="I8" s="61">
        <v>4</v>
      </c>
      <c r="J8" s="20" t="s">
        <v>13</v>
      </c>
      <c r="K8" s="36">
        <f>AVERAGEIF('Raw Data'!B3:B61,4,'Raw Data'!G3:G61)</f>
        <v>2911.375</v>
      </c>
      <c r="L8" s="66">
        <f t="shared" ref="L8:L39" si="1">G8-H8</f>
        <v>-1628</v>
      </c>
      <c r="M8" s="67">
        <f t="shared" ref="M8:M39" si="2">ABS((G8-H8)/G8)</f>
        <v>0.79725759059745349</v>
      </c>
      <c r="N8" s="64">
        <v>4</v>
      </c>
      <c r="O8" s="64" t="s">
        <v>13</v>
      </c>
      <c r="P8" s="65">
        <f>AVERAGEIF('Raw Data'!B3:B61,4,'Raw Data'!G3:G61)</f>
        <v>2911.375</v>
      </c>
    </row>
    <row r="9" spans="1:16" ht="15" customHeight="1" x14ac:dyDescent="0.3">
      <c r="A9" s="19">
        <f>'Raw Data'!A5</f>
        <v>44472</v>
      </c>
      <c r="B9" s="20">
        <f>'Raw Data'!B5</f>
        <v>1</v>
      </c>
      <c r="C9" s="20" t="str">
        <f>'Raw Data'!C5</f>
        <v>Monday</v>
      </c>
      <c r="D9" s="20">
        <f>'Raw Data'!D5</f>
        <v>0</v>
      </c>
      <c r="E9" s="20">
        <f>'Raw Data'!E5</f>
        <v>1</v>
      </c>
      <c r="F9" s="20">
        <f>'Raw Data'!F5</f>
        <v>0</v>
      </c>
      <c r="G9" s="22">
        <f>'Raw Data'!G5</f>
        <v>4289</v>
      </c>
      <c r="H9" s="36">
        <f t="shared" si="0"/>
        <v>3684.1111111111113</v>
      </c>
      <c r="I9" s="57">
        <v>5</v>
      </c>
      <c r="J9" s="21" t="s">
        <v>14</v>
      </c>
      <c r="K9" s="58">
        <f>AVERAGEIF('Raw Data'!B3:B61,5,'Raw Data'!G3:G61)</f>
        <v>2723.75</v>
      </c>
      <c r="L9" s="66">
        <f t="shared" si="1"/>
        <v>604.88888888888869</v>
      </c>
      <c r="M9" s="67">
        <f t="shared" si="2"/>
        <v>0.14103261573534359</v>
      </c>
      <c r="N9" s="59">
        <v>5</v>
      </c>
      <c r="O9" s="59" t="s">
        <v>14</v>
      </c>
      <c r="P9" s="60">
        <f>AVERAGEIF('Raw Data'!B3:B61,5,'Raw Data'!G3:G61)</f>
        <v>2723.75</v>
      </c>
    </row>
    <row r="10" spans="1:16" ht="15" customHeight="1" x14ac:dyDescent="0.3">
      <c r="A10" s="16">
        <f>'Raw Data'!A6</f>
        <v>44473</v>
      </c>
      <c r="B10" s="17">
        <f>'Raw Data'!B6</f>
        <v>2</v>
      </c>
      <c r="C10" s="17" t="str">
        <f>'Raw Data'!C6</f>
        <v>Tuesday</v>
      </c>
      <c r="D10" s="17">
        <f>'Raw Data'!D6</f>
        <v>0</v>
      </c>
      <c r="E10" s="17">
        <f>'Raw Data'!E6</f>
        <v>0</v>
      </c>
      <c r="F10" s="17">
        <f>'Raw Data'!F6</f>
        <v>0</v>
      </c>
      <c r="G10" s="18">
        <f>'Raw Data'!G6</f>
        <v>2454</v>
      </c>
      <c r="H10" s="34">
        <f t="shared" si="0"/>
        <v>2327.75</v>
      </c>
      <c r="I10" s="61">
        <v>6</v>
      </c>
      <c r="J10" s="20" t="s">
        <v>8</v>
      </c>
      <c r="K10" s="36">
        <f>AVERAGEIF('Raw Data'!B3:B61,6,'Raw Data'!G3:G61)</f>
        <v>2428.2222222222222</v>
      </c>
      <c r="L10" s="66">
        <f t="shared" si="1"/>
        <v>126.25</v>
      </c>
      <c r="M10" s="67">
        <f t="shared" si="2"/>
        <v>5.1446617766911167E-2</v>
      </c>
      <c r="N10" s="64">
        <v>6</v>
      </c>
      <c r="O10" s="64" t="s">
        <v>8</v>
      </c>
      <c r="P10" s="65">
        <f>AVERAGEIF('Raw Data'!B3:B61,6,'Raw Data'!G3:G61)</f>
        <v>2428.2222222222222</v>
      </c>
    </row>
    <row r="11" spans="1:16" ht="15" customHeight="1" x14ac:dyDescent="0.3">
      <c r="A11" s="19">
        <f>'Raw Data'!A7</f>
        <v>44474</v>
      </c>
      <c r="B11" s="20">
        <f>'Raw Data'!B7</f>
        <v>3</v>
      </c>
      <c r="C11" s="20" t="str">
        <f>'Raw Data'!C7</f>
        <v>Wednesday</v>
      </c>
      <c r="D11" s="20">
        <f>'Raw Data'!D7</f>
        <v>0</v>
      </c>
      <c r="E11" s="20">
        <f>'Raw Data'!E7</f>
        <v>0</v>
      </c>
      <c r="F11" s="20">
        <f>'Raw Data'!F7</f>
        <v>0</v>
      </c>
      <c r="G11" s="22">
        <f>'Raw Data'!G7</f>
        <v>2544</v>
      </c>
      <c r="H11" s="36">
        <f t="shared" si="0"/>
        <v>2795.5</v>
      </c>
      <c r="I11" s="57">
        <v>7</v>
      </c>
      <c r="J11" s="21" t="s">
        <v>9</v>
      </c>
      <c r="K11" s="58">
        <f>AVERAGEIF('Raw Data'!B3:B61,7,'Raw Data'!G3:G61)</f>
        <v>3670</v>
      </c>
      <c r="L11" s="66">
        <f t="shared" si="1"/>
        <v>-251.5</v>
      </c>
      <c r="M11" s="67">
        <f t="shared" si="2"/>
        <v>9.886006289308176E-2</v>
      </c>
      <c r="N11" s="59">
        <v>7</v>
      </c>
      <c r="O11" s="59" t="s">
        <v>9</v>
      </c>
      <c r="P11" s="60">
        <f>AVERAGEIF('Raw Data'!B3:B61,7,'Raw Data'!G3:G61)</f>
        <v>3670</v>
      </c>
    </row>
    <row r="12" spans="1:16" ht="15" customHeight="1" x14ac:dyDescent="0.3">
      <c r="A12" s="16">
        <f>'Raw Data'!A8</f>
        <v>44475</v>
      </c>
      <c r="B12" s="17">
        <f>'Raw Data'!B8</f>
        <v>4</v>
      </c>
      <c r="C12" s="17" t="str">
        <f>'Raw Data'!C8</f>
        <v>Thursday</v>
      </c>
      <c r="D12" s="17">
        <f>'Raw Data'!D8</f>
        <v>0</v>
      </c>
      <c r="E12" s="17">
        <f>'Raw Data'!E8</f>
        <v>0</v>
      </c>
      <c r="F12" s="17">
        <f>'Raw Data'!F8</f>
        <v>0</v>
      </c>
      <c r="G12" s="18">
        <f>'Raw Data'!G8</f>
        <v>2686</v>
      </c>
      <c r="H12" s="34">
        <f t="shared" si="0"/>
        <v>2911.375</v>
      </c>
      <c r="L12" s="66">
        <f t="shared" si="1"/>
        <v>-225.375</v>
      </c>
      <c r="M12" s="67">
        <f t="shared" si="2"/>
        <v>8.3907297096053615E-2</v>
      </c>
    </row>
    <row r="13" spans="1:16" ht="15" customHeight="1" x14ac:dyDescent="0.3">
      <c r="A13" s="19">
        <f>'Raw Data'!A9</f>
        <v>44476</v>
      </c>
      <c r="B13" s="20">
        <f>'Raw Data'!B9</f>
        <v>5</v>
      </c>
      <c r="C13" s="20" t="str">
        <f>'Raw Data'!C9</f>
        <v>Friday</v>
      </c>
      <c r="D13" s="20">
        <f>'Raw Data'!D9</f>
        <v>0</v>
      </c>
      <c r="E13" s="20">
        <f>'Raw Data'!E9</f>
        <v>0</v>
      </c>
      <c r="F13" s="20">
        <f>'Raw Data'!F9</f>
        <v>0</v>
      </c>
      <c r="G13" s="22">
        <f>'Raw Data'!G9</f>
        <v>2792</v>
      </c>
      <c r="H13" s="36">
        <f t="shared" si="0"/>
        <v>2723.75</v>
      </c>
      <c r="L13" s="66">
        <f t="shared" si="1"/>
        <v>68.25</v>
      </c>
      <c r="M13" s="67">
        <f t="shared" si="2"/>
        <v>2.4444842406876791E-2</v>
      </c>
    </row>
    <row r="14" spans="1:16" ht="15" customHeight="1" x14ac:dyDescent="0.3">
      <c r="A14" s="16">
        <f>'Raw Data'!A10</f>
        <v>44477</v>
      </c>
      <c r="B14" s="17">
        <f>'Raw Data'!B10</f>
        <v>6</v>
      </c>
      <c r="C14" s="17" t="str">
        <f>'Raw Data'!C10</f>
        <v>Saturday</v>
      </c>
      <c r="D14" s="17">
        <f>'Raw Data'!D10</f>
        <v>0</v>
      </c>
      <c r="E14" s="17">
        <f>'Raw Data'!E10</f>
        <v>0</v>
      </c>
      <c r="F14" s="17">
        <f>'Raw Data'!F10</f>
        <v>0</v>
      </c>
      <c r="G14" s="18">
        <f>'Raw Data'!G10</f>
        <v>2246</v>
      </c>
      <c r="H14" s="34">
        <f t="shared" si="0"/>
        <v>2428.2222222222222</v>
      </c>
      <c r="L14" s="66">
        <f t="shared" si="1"/>
        <v>-182.22222222222217</v>
      </c>
      <c r="M14" s="67">
        <f t="shared" si="2"/>
        <v>8.1131888789947537E-2</v>
      </c>
    </row>
    <row r="15" spans="1:16" ht="15" customHeight="1" x14ac:dyDescent="0.3">
      <c r="A15" s="19">
        <f>'Raw Data'!A11</f>
        <v>44478</v>
      </c>
      <c r="B15" s="20">
        <f>'Raw Data'!B11</f>
        <v>7</v>
      </c>
      <c r="C15" s="20" t="str">
        <f>'Raw Data'!C11</f>
        <v>Sunday</v>
      </c>
      <c r="D15" s="20">
        <f>'Raw Data'!D11</f>
        <v>0</v>
      </c>
      <c r="E15" s="20">
        <f>'Raw Data'!E11</f>
        <v>1</v>
      </c>
      <c r="F15" s="20">
        <f>'Raw Data'!F11</f>
        <v>0</v>
      </c>
      <c r="G15" s="22">
        <f>'Raw Data'!G11</f>
        <v>4078</v>
      </c>
      <c r="H15" s="36">
        <f t="shared" si="0"/>
        <v>3670</v>
      </c>
      <c r="L15" s="66">
        <f t="shared" si="1"/>
        <v>408</v>
      </c>
      <c r="M15" s="67">
        <f t="shared" si="2"/>
        <v>0.10004904364884748</v>
      </c>
    </row>
    <row r="16" spans="1:16" ht="15" customHeight="1" x14ac:dyDescent="0.3">
      <c r="A16" s="16">
        <f>'Raw Data'!A12</f>
        <v>44479</v>
      </c>
      <c r="B16" s="17">
        <f>'Raw Data'!B12</f>
        <v>1</v>
      </c>
      <c r="C16" s="17" t="str">
        <f>'Raw Data'!C12</f>
        <v>Monday</v>
      </c>
      <c r="D16" s="17">
        <f>'Raw Data'!D12</f>
        <v>0</v>
      </c>
      <c r="E16" s="17">
        <f>'Raw Data'!E12</f>
        <v>1</v>
      </c>
      <c r="F16" s="17">
        <f>'Raw Data'!F12</f>
        <v>0</v>
      </c>
      <c r="G16" s="18">
        <f>'Raw Data'!G12</f>
        <v>3949</v>
      </c>
      <c r="H16" s="34">
        <f t="shared" si="0"/>
        <v>3684.1111111111113</v>
      </c>
      <c r="L16" s="66">
        <f t="shared" si="1"/>
        <v>264.88888888888869</v>
      </c>
      <c r="M16" s="67">
        <f t="shared" si="2"/>
        <v>6.7077459835119951E-2</v>
      </c>
    </row>
    <row r="17" spans="1:13" ht="15" customHeight="1" x14ac:dyDescent="0.3">
      <c r="A17" s="19">
        <f>'Raw Data'!A13</f>
        <v>44480</v>
      </c>
      <c r="B17" s="20">
        <f>'Raw Data'!B13</f>
        <v>2</v>
      </c>
      <c r="C17" s="20" t="str">
        <f>'Raw Data'!C13</f>
        <v>Tuesday</v>
      </c>
      <c r="D17" s="20">
        <f>'Raw Data'!D13</f>
        <v>0</v>
      </c>
      <c r="E17" s="20">
        <f>'Raw Data'!E13</f>
        <v>0</v>
      </c>
      <c r="F17" s="20">
        <f>'Raw Data'!F13</f>
        <v>0</v>
      </c>
      <c r="G17" s="22">
        <f>'Raw Data'!G13</f>
        <v>2687</v>
      </c>
      <c r="H17" s="36">
        <f t="shared" si="0"/>
        <v>2327.75</v>
      </c>
      <c r="L17" s="66">
        <f t="shared" si="1"/>
        <v>359.25</v>
      </c>
      <c r="M17" s="67">
        <f t="shared" si="2"/>
        <v>0.13369929289170079</v>
      </c>
    </row>
    <row r="18" spans="1:13" ht="15" customHeight="1" x14ac:dyDescent="0.3">
      <c r="A18" s="16">
        <f>'Raw Data'!A14</f>
        <v>44481</v>
      </c>
      <c r="B18" s="17">
        <f>'Raw Data'!B14</f>
        <v>3</v>
      </c>
      <c r="C18" s="17" t="str">
        <f>'Raw Data'!C14</f>
        <v>Wednesday</v>
      </c>
      <c r="D18" s="17">
        <f>'Raw Data'!D14</f>
        <v>0</v>
      </c>
      <c r="E18" s="17">
        <f>'Raw Data'!E14</f>
        <v>0</v>
      </c>
      <c r="F18" s="17">
        <f>'Raw Data'!F14</f>
        <v>0</v>
      </c>
      <c r="G18" s="18">
        <f>'Raw Data'!G14</f>
        <v>2737</v>
      </c>
      <c r="H18" s="34">
        <f t="shared" si="0"/>
        <v>2795.5</v>
      </c>
      <c r="L18" s="66">
        <f t="shared" si="1"/>
        <v>-58.5</v>
      </c>
      <c r="M18" s="67">
        <f t="shared" si="2"/>
        <v>2.1373766898063574E-2</v>
      </c>
    </row>
    <row r="19" spans="1:13" ht="15" customHeight="1" x14ac:dyDescent="0.3">
      <c r="A19" s="19">
        <f>'Raw Data'!A15</f>
        <v>44482</v>
      </c>
      <c r="B19" s="20">
        <f>'Raw Data'!B15</f>
        <v>4</v>
      </c>
      <c r="C19" s="20" t="str">
        <f>'Raw Data'!C15</f>
        <v>Thursday</v>
      </c>
      <c r="D19" s="20">
        <f>'Raw Data'!D15</f>
        <v>0</v>
      </c>
      <c r="E19" s="20">
        <f>'Raw Data'!E15</f>
        <v>0</v>
      </c>
      <c r="F19" s="20">
        <f>'Raw Data'!F15</f>
        <v>1</v>
      </c>
      <c r="G19" s="22">
        <f>'Raw Data'!G15</f>
        <v>5817</v>
      </c>
      <c r="H19" s="36">
        <f t="shared" si="0"/>
        <v>2911.375</v>
      </c>
      <c r="L19" s="66">
        <f t="shared" si="1"/>
        <v>2905.625</v>
      </c>
      <c r="M19" s="67">
        <f t="shared" si="2"/>
        <v>0.49950575898229327</v>
      </c>
    </row>
    <row r="20" spans="1:13" ht="15" customHeight="1" x14ac:dyDescent="0.3">
      <c r="A20" s="16">
        <f>'Raw Data'!A16</f>
        <v>44483</v>
      </c>
      <c r="B20" s="17">
        <f>'Raw Data'!B16</f>
        <v>5</v>
      </c>
      <c r="C20" s="17" t="str">
        <f>'Raw Data'!C16</f>
        <v>Friday</v>
      </c>
      <c r="D20" s="17">
        <f>'Raw Data'!D16</f>
        <v>0</v>
      </c>
      <c r="E20" s="17">
        <f>'Raw Data'!E16</f>
        <v>0</v>
      </c>
      <c r="F20" s="17">
        <f>'Raw Data'!F16</f>
        <v>0</v>
      </c>
      <c r="G20" s="18">
        <f>'Raw Data'!G16</f>
        <v>2855</v>
      </c>
      <c r="H20" s="34">
        <f t="shared" si="0"/>
        <v>2723.75</v>
      </c>
      <c r="L20" s="66">
        <f t="shared" si="1"/>
        <v>131.25</v>
      </c>
      <c r="M20" s="67">
        <f t="shared" si="2"/>
        <v>4.5971978984238181E-2</v>
      </c>
    </row>
    <row r="21" spans="1:13" ht="15" customHeight="1" x14ac:dyDescent="0.3">
      <c r="A21" s="19">
        <f>'Raw Data'!A17</f>
        <v>44484</v>
      </c>
      <c r="B21" s="20">
        <f>'Raw Data'!B17</f>
        <v>6</v>
      </c>
      <c r="C21" s="20" t="str">
        <f>'Raw Data'!C17</f>
        <v>Saturday</v>
      </c>
      <c r="D21" s="20">
        <f>'Raw Data'!D17</f>
        <v>0</v>
      </c>
      <c r="E21" s="20">
        <f>'Raw Data'!E17</f>
        <v>0</v>
      </c>
      <c r="F21" s="20">
        <f>'Raw Data'!F17</f>
        <v>0</v>
      </c>
      <c r="G21" s="22">
        <f>'Raw Data'!G17</f>
        <v>2777</v>
      </c>
      <c r="H21" s="36">
        <f t="shared" si="0"/>
        <v>2428.2222222222222</v>
      </c>
      <c r="L21" s="66">
        <f t="shared" si="1"/>
        <v>348.77777777777783</v>
      </c>
      <c r="M21" s="67">
        <f t="shared" si="2"/>
        <v>0.12559516664666109</v>
      </c>
    </row>
    <row r="22" spans="1:13" ht="15" customHeight="1" x14ac:dyDescent="0.3">
      <c r="A22" s="16">
        <f>'Raw Data'!A18</f>
        <v>44485</v>
      </c>
      <c r="B22" s="17">
        <f>'Raw Data'!B18</f>
        <v>7</v>
      </c>
      <c r="C22" s="17" t="str">
        <f>'Raw Data'!C18</f>
        <v>Sunday</v>
      </c>
      <c r="D22" s="17">
        <f>'Raw Data'!D18</f>
        <v>0</v>
      </c>
      <c r="E22" s="17">
        <f>'Raw Data'!E18</f>
        <v>1</v>
      </c>
      <c r="F22" s="17">
        <f>'Raw Data'!F18</f>
        <v>0</v>
      </c>
      <c r="G22" s="18">
        <f>'Raw Data'!G18</f>
        <v>3605</v>
      </c>
      <c r="H22" s="34">
        <f t="shared" si="0"/>
        <v>3670</v>
      </c>
      <c r="L22" s="66">
        <f t="shared" si="1"/>
        <v>-65</v>
      </c>
      <c r="M22" s="67">
        <f t="shared" si="2"/>
        <v>1.8030513176144243E-2</v>
      </c>
    </row>
    <row r="23" spans="1:13" ht="15" customHeight="1" x14ac:dyDescent="0.3">
      <c r="A23" s="19">
        <f>'Raw Data'!A19</f>
        <v>44486</v>
      </c>
      <c r="B23" s="20">
        <f>'Raw Data'!B19</f>
        <v>1</v>
      </c>
      <c r="C23" s="20" t="str">
        <f>'Raw Data'!C19</f>
        <v>Monday</v>
      </c>
      <c r="D23" s="20">
        <f>'Raw Data'!D19</f>
        <v>0</v>
      </c>
      <c r="E23" s="20">
        <f>'Raw Data'!E19</f>
        <v>1</v>
      </c>
      <c r="F23" s="20">
        <f>'Raw Data'!F19</f>
        <v>0</v>
      </c>
      <c r="G23" s="22">
        <f>'Raw Data'!G19</f>
        <v>2351</v>
      </c>
      <c r="H23" s="36">
        <f t="shared" si="0"/>
        <v>3684.1111111111113</v>
      </c>
      <c r="L23" s="66">
        <f t="shared" si="1"/>
        <v>-1333.1111111111113</v>
      </c>
      <c r="M23" s="67">
        <f t="shared" si="2"/>
        <v>0.5670400302471762</v>
      </c>
    </row>
    <row r="24" spans="1:13" ht="15" customHeight="1" x14ac:dyDescent="0.3">
      <c r="A24" s="16">
        <f>'Raw Data'!A20</f>
        <v>44487</v>
      </c>
      <c r="B24" s="17">
        <f>'Raw Data'!B20</f>
        <v>2</v>
      </c>
      <c r="C24" s="17" t="str">
        <f>'Raw Data'!C20</f>
        <v>Tuesday</v>
      </c>
      <c r="D24" s="17">
        <f>'Raw Data'!D20</f>
        <v>0</v>
      </c>
      <c r="E24" s="17">
        <f>'Raw Data'!E20</f>
        <v>0</v>
      </c>
      <c r="F24" s="17">
        <f>'Raw Data'!F20</f>
        <v>0</v>
      </c>
      <c r="G24" s="18">
        <f>'Raw Data'!G20</f>
        <v>2189</v>
      </c>
      <c r="H24" s="34">
        <f t="shared" si="0"/>
        <v>2327.75</v>
      </c>
      <c r="L24" s="66">
        <f t="shared" si="1"/>
        <v>-138.75</v>
      </c>
      <c r="M24" s="67">
        <f t="shared" si="2"/>
        <v>6.3385107354956602E-2</v>
      </c>
    </row>
    <row r="25" spans="1:13" ht="15" customHeight="1" x14ac:dyDescent="0.3">
      <c r="A25" s="19">
        <f>'Raw Data'!A21</f>
        <v>44488</v>
      </c>
      <c r="B25" s="20">
        <f>'Raw Data'!B21</f>
        <v>3</v>
      </c>
      <c r="C25" s="20" t="str">
        <f>'Raw Data'!C21</f>
        <v>Wednesday</v>
      </c>
      <c r="D25" s="20">
        <f>'Raw Data'!D21</f>
        <v>0</v>
      </c>
      <c r="E25" s="20">
        <f>'Raw Data'!E21</f>
        <v>0</v>
      </c>
      <c r="F25" s="20">
        <f>'Raw Data'!F21</f>
        <v>0</v>
      </c>
      <c r="G25" s="22">
        <f>'Raw Data'!G21</f>
        <v>2139</v>
      </c>
      <c r="H25" s="36">
        <f t="shared" si="0"/>
        <v>2795.5</v>
      </c>
      <c r="L25" s="66">
        <f t="shared" si="1"/>
        <v>-656.5</v>
      </c>
      <c r="M25" s="67">
        <f t="shared" si="2"/>
        <v>0.306919121084619</v>
      </c>
    </row>
    <row r="26" spans="1:13" ht="15" customHeight="1" x14ac:dyDescent="0.3">
      <c r="A26" s="16">
        <f>'Raw Data'!A22</f>
        <v>44489</v>
      </c>
      <c r="B26" s="17">
        <f>'Raw Data'!B22</f>
        <v>4</v>
      </c>
      <c r="C26" s="17" t="str">
        <f>'Raw Data'!C22</f>
        <v>Thursday</v>
      </c>
      <c r="D26" s="17">
        <f>'Raw Data'!D22</f>
        <v>0</v>
      </c>
      <c r="E26" s="17">
        <f>'Raw Data'!E22</f>
        <v>0</v>
      </c>
      <c r="F26" s="17">
        <f>'Raw Data'!F22</f>
        <v>0</v>
      </c>
      <c r="G26" s="18">
        <f>'Raw Data'!G22</f>
        <v>2569</v>
      </c>
      <c r="H26" s="34">
        <f t="shared" si="0"/>
        <v>2911.375</v>
      </c>
      <c r="L26" s="66">
        <f t="shared" si="1"/>
        <v>-342.375</v>
      </c>
      <c r="M26" s="67">
        <f t="shared" si="2"/>
        <v>0.13327170105099259</v>
      </c>
    </row>
    <row r="27" spans="1:13" ht="15" customHeight="1" x14ac:dyDescent="0.3">
      <c r="A27" s="19">
        <f>'Raw Data'!A23</f>
        <v>44490</v>
      </c>
      <c r="B27" s="20">
        <f>'Raw Data'!B23</f>
        <v>5</v>
      </c>
      <c r="C27" s="20" t="str">
        <f>'Raw Data'!C23</f>
        <v>Friday</v>
      </c>
      <c r="D27" s="20">
        <f>'Raw Data'!D23</f>
        <v>0</v>
      </c>
      <c r="E27" s="20">
        <f>'Raw Data'!E23</f>
        <v>0</v>
      </c>
      <c r="F27" s="20">
        <f>'Raw Data'!F23</f>
        <v>0</v>
      </c>
      <c r="G27" s="22">
        <f>'Raw Data'!G23</f>
        <v>2519</v>
      </c>
      <c r="H27" s="36">
        <f t="shared" si="0"/>
        <v>2723.75</v>
      </c>
      <c r="L27" s="66">
        <f t="shared" si="1"/>
        <v>-204.75</v>
      </c>
      <c r="M27" s="67">
        <f t="shared" si="2"/>
        <v>8.1282254863040887E-2</v>
      </c>
    </row>
    <row r="28" spans="1:13" ht="15" customHeight="1" x14ac:dyDescent="0.3">
      <c r="A28" s="16">
        <f>'Raw Data'!A24</f>
        <v>44491</v>
      </c>
      <c r="B28" s="17">
        <f>'Raw Data'!B24</f>
        <v>6</v>
      </c>
      <c r="C28" s="17" t="str">
        <f>'Raw Data'!C24</f>
        <v>Saturday</v>
      </c>
      <c r="D28" s="17">
        <f>'Raw Data'!D24</f>
        <v>0</v>
      </c>
      <c r="E28" s="17">
        <f>'Raw Data'!E24</f>
        <v>0</v>
      </c>
      <c r="F28" s="17">
        <f>'Raw Data'!F24</f>
        <v>0</v>
      </c>
      <c r="G28" s="18">
        <f>'Raw Data'!G24</f>
        <v>2715</v>
      </c>
      <c r="H28" s="34">
        <f t="shared" si="0"/>
        <v>2428.2222222222222</v>
      </c>
      <c r="L28" s="66">
        <f t="shared" si="1"/>
        <v>286.77777777777783</v>
      </c>
      <c r="M28" s="67">
        <f t="shared" si="2"/>
        <v>0.10562717413546145</v>
      </c>
    </row>
    <row r="29" spans="1:13" ht="15" customHeight="1" x14ac:dyDescent="0.3">
      <c r="A29" s="19">
        <f>'Raw Data'!A25</f>
        <v>44492</v>
      </c>
      <c r="B29" s="20">
        <f>'Raw Data'!B25</f>
        <v>7</v>
      </c>
      <c r="C29" s="20" t="str">
        <f>'Raw Data'!C25</f>
        <v>Sunday</v>
      </c>
      <c r="D29" s="20">
        <f>'Raw Data'!D25</f>
        <v>0</v>
      </c>
      <c r="E29" s="20">
        <f>'Raw Data'!E25</f>
        <v>1</v>
      </c>
      <c r="F29" s="20">
        <f>'Raw Data'!F25</f>
        <v>0</v>
      </c>
      <c r="G29" s="22">
        <f>'Raw Data'!G25</f>
        <v>2463</v>
      </c>
      <c r="H29" s="36">
        <f t="shared" si="0"/>
        <v>3670</v>
      </c>
      <c r="L29" s="66">
        <f t="shared" si="1"/>
        <v>-1207</v>
      </c>
      <c r="M29" s="67">
        <f t="shared" si="2"/>
        <v>0.49005278116118556</v>
      </c>
    </row>
    <row r="30" spans="1:13" ht="15" customHeight="1" x14ac:dyDescent="0.3">
      <c r="A30" s="16">
        <f>'Raw Data'!A26</f>
        <v>44493</v>
      </c>
      <c r="B30" s="17">
        <f>'Raw Data'!B26</f>
        <v>1</v>
      </c>
      <c r="C30" s="17" t="str">
        <f>'Raw Data'!C26</f>
        <v>Monday</v>
      </c>
      <c r="D30" s="17">
        <f>'Raw Data'!D26</f>
        <v>0</v>
      </c>
      <c r="E30" s="17">
        <f>'Raw Data'!E26</f>
        <v>1</v>
      </c>
      <c r="F30" s="17">
        <f>'Raw Data'!F26</f>
        <v>0</v>
      </c>
      <c r="G30" s="18">
        <f>'Raw Data'!G26</f>
        <v>5488</v>
      </c>
      <c r="H30" s="34">
        <f t="shared" si="0"/>
        <v>3684.1111111111113</v>
      </c>
      <c r="L30" s="66">
        <f t="shared" si="1"/>
        <v>1803.8888888888887</v>
      </c>
      <c r="M30" s="67">
        <f t="shared" si="2"/>
        <v>0.32869695497246515</v>
      </c>
    </row>
    <row r="31" spans="1:13" ht="15" customHeight="1" x14ac:dyDescent="0.3">
      <c r="A31" s="19">
        <f>'Raw Data'!A27</f>
        <v>44494</v>
      </c>
      <c r="B31" s="20">
        <f>'Raw Data'!B27</f>
        <v>2</v>
      </c>
      <c r="C31" s="20" t="str">
        <f>'Raw Data'!C27</f>
        <v>Tuesday</v>
      </c>
      <c r="D31" s="20">
        <f>'Raw Data'!D27</f>
        <v>1</v>
      </c>
      <c r="E31" s="20">
        <f>'Raw Data'!E27</f>
        <v>0</v>
      </c>
      <c r="F31" s="20">
        <f>'Raw Data'!F27</f>
        <v>0</v>
      </c>
      <c r="G31" s="22">
        <f>'Raw Data'!G27</f>
        <v>2191</v>
      </c>
      <c r="H31" s="36">
        <f t="shared" si="0"/>
        <v>2327.75</v>
      </c>
      <c r="L31" s="66">
        <f t="shared" si="1"/>
        <v>-136.75</v>
      </c>
      <c r="M31" s="67">
        <f t="shared" si="2"/>
        <v>6.2414422638064813E-2</v>
      </c>
    </row>
    <row r="32" spans="1:13" ht="15" customHeight="1" x14ac:dyDescent="0.3">
      <c r="A32" s="16">
        <f>'Raw Data'!A28</f>
        <v>44495</v>
      </c>
      <c r="B32" s="17">
        <f>'Raw Data'!B28</f>
        <v>3</v>
      </c>
      <c r="C32" s="17" t="str">
        <f>'Raw Data'!C28</f>
        <v>Wednesday</v>
      </c>
      <c r="D32" s="17">
        <f>'Raw Data'!D28</f>
        <v>1</v>
      </c>
      <c r="E32" s="17">
        <f>'Raw Data'!E28</f>
        <v>0</v>
      </c>
      <c r="F32" s="17">
        <f>'Raw Data'!F28</f>
        <v>0</v>
      </c>
      <c r="G32" s="18">
        <f>'Raw Data'!G28</f>
        <v>1944</v>
      </c>
      <c r="H32" s="34">
        <f t="shared" si="0"/>
        <v>2795.5</v>
      </c>
      <c r="L32" s="66">
        <f t="shared" si="1"/>
        <v>-851.5</v>
      </c>
      <c r="M32" s="67">
        <f t="shared" si="2"/>
        <v>0.43801440329218105</v>
      </c>
    </row>
    <row r="33" spans="1:13" ht="15" customHeight="1" x14ac:dyDescent="0.3">
      <c r="A33" s="19">
        <f>'Raw Data'!A29</f>
        <v>44496</v>
      </c>
      <c r="B33" s="20">
        <f>'Raw Data'!B29</f>
        <v>4</v>
      </c>
      <c r="C33" s="20" t="str">
        <f>'Raw Data'!C29</f>
        <v>Thursday</v>
      </c>
      <c r="D33" s="20">
        <f>'Raw Data'!D29</f>
        <v>1</v>
      </c>
      <c r="E33" s="20">
        <f>'Raw Data'!E29</f>
        <v>0</v>
      </c>
      <c r="F33" s="20">
        <f>'Raw Data'!F29</f>
        <v>0</v>
      </c>
      <c r="G33" s="22">
        <f>'Raw Data'!G29</f>
        <v>2955</v>
      </c>
      <c r="H33" s="36">
        <f t="shared" si="0"/>
        <v>2911.375</v>
      </c>
      <c r="L33" s="66">
        <f t="shared" si="1"/>
        <v>43.625</v>
      </c>
      <c r="M33" s="67">
        <f t="shared" si="2"/>
        <v>1.476311336717428E-2</v>
      </c>
    </row>
    <row r="34" spans="1:13" ht="15" customHeight="1" x14ac:dyDescent="0.3">
      <c r="A34" s="16">
        <f>'Raw Data'!A30</f>
        <v>44497</v>
      </c>
      <c r="B34" s="17">
        <f>'Raw Data'!B30</f>
        <v>5</v>
      </c>
      <c r="C34" s="17" t="str">
        <f>'Raw Data'!C30</f>
        <v>Friday</v>
      </c>
      <c r="D34" s="17">
        <f>'Raw Data'!D30</f>
        <v>1</v>
      </c>
      <c r="E34" s="17">
        <f>'Raw Data'!E30</f>
        <v>0</v>
      </c>
      <c r="F34" s="17">
        <f>'Raw Data'!F30</f>
        <v>1</v>
      </c>
      <c r="G34" s="18">
        <f>'Raw Data'!G30</f>
        <v>4089</v>
      </c>
      <c r="H34" s="34">
        <f t="shared" si="0"/>
        <v>2723.75</v>
      </c>
      <c r="L34" s="66">
        <f t="shared" si="1"/>
        <v>1365.25</v>
      </c>
      <c r="M34" s="67">
        <f t="shared" si="2"/>
        <v>0.33388359011983371</v>
      </c>
    </row>
    <row r="35" spans="1:13" ht="15" customHeight="1" x14ac:dyDescent="0.3">
      <c r="A35" s="19">
        <f>'Raw Data'!A31</f>
        <v>44498</v>
      </c>
      <c r="B35" s="20">
        <f>'Raw Data'!B31</f>
        <v>6</v>
      </c>
      <c r="C35" s="20" t="str">
        <f>'Raw Data'!C31</f>
        <v>Saturday</v>
      </c>
      <c r="D35" s="20">
        <f>'Raw Data'!D31</f>
        <v>1</v>
      </c>
      <c r="E35" s="20">
        <f>'Raw Data'!E31</f>
        <v>0</v>
      </c>
      <c r="F35" s="20">
        <f>'Raw Data'!F31</f>
        <v>0</v>
      </c>
      <c r="G35" s="22">
        <f>'Raw Data'!G31</f>
        <v>2104</v>
      </c>
      <c r="H35" s="36">
        <f t="shared" si="0"/>
        <v>2428.2222222222222</v>
      </c>
      <c r="L35" s="66">
        <f t="shared" si="1"/>
        <v>-324.22222222222217</v>
      </c>
      <c r="M35" s="67">
        <f t="shared" si="2"/>
        <v>0.15409801436417403</v>
      </c>
    </row>
    <row r="36" spans="1:13" ht="15" customHeight="1" x14ac:dyDescent="0.3">
      <c r="A36" s="16">
        <f>'Raw Data'!A32</f>
        <v>44499</v>
      </c>
      <c r="B36" s="17">
        <f>'Raw Data'!B32</f>
        <v>7</v>
      </c>
      <c r="C36" s="17" t="str">
        <f>'Raw Data'!C32</f>
        <v>Sunday</v>
      </c>
      <c r="D36" s="17">
        <f>'Raw Data'!D32</f>
        <v>1</v>
      </c>
      <c r="E36" s="17">
        <f>'Raw Data'!E32</f>
        <v>1</v>
      </c>
      <c r="F36" s="17">
        <f>'Raw Data'!F32</f>
        <v>0</v>
      </c>
      <c r="G36" s="18">
        <f>'Raw Data'!G32</f>
        <v>4240</v>
      </c>
      <c r="H36" s="34">
        <f t="shared" si="0"/>
        <v>3670</v>
      </c>
      <c r="L36" s="66">
        <f t="shared" si="1"/>
        <v>570</v>
      </c>
      <c r="M36" s="67">
        <f t="shared" si="2"/>
        <v>0.13443396226415094</v>
      </c>
    </row>
    <row r="37" spans="1:13" ht="15" customHeight="1" x14ac:dyDescent="0.3">
      <c r="A37" s="19">
        <f>'Raw Data'!A33</f>
        <v>44500</v>
      </c>
      <c r="B37" s="20">
        <f>'Raw Data'!B33</f>
        <v>1</v>
      </c>
      <c r="C37" s="20" t="str">
        <f>'Raw Data'!C33</f>
        <v>Monday</v>
      </c>
      <c r="D37" s="20">
        <f>'Raw Data'!D33</f>
        <v>1</v>
      </c>
      <c r="E37" s="20">
        <f>'Raw Data'!E33</f>
        <v>1</v>
      </c>
      <c r="F37" s="20">
        <f>'Raw Data'!F33</f>
        <v>0</v>
      </c>
      <c r="G37" s="22">
        <f>'Raw Data'!G33</f>
        <v>2190</v>
      </c>
      <c r="H37" s="36">
        <f t="shared" si="0"/>
        <v>3684.1111111111113</v>
      </c>
      <c r="L37" s="66">
        <f t="shared" si="1"/>
        <v>-1494.1111111111113</v>
      </c>
      <c r="M37" s="67">
        <f t="shared" si="2"/>
        <v>0.68224251648909195</v>
      </c>
    </row>
    <row r="38" spans="1:13" ht="15" customHeight="1" x14ac:dyDescent="0.3">
      <c r="A38" s="16">
        <f>'Raw Data'!A34</f>
        <v>44501</v>
      </c>
      <c r="B38" s="17">
        <f>'Raw Data'!B34</f>
        <v>2</v>
      </c>
      <c r="C38" s="17" t="str">
        <f>'Raw Data'!C34</f>
        <v>Tuesday</v>
      </c>
      <c r="D38" s="17">
        <f>'Raw Data'!D34</f>
        <v>1</v>
      </c>
      <c r="E38" s="17">
        <f>'Raw Data'!E34</f>
        <v>0</v>
      </c>
      <c r="F38" s="17">
        <f>'Raw Data'!F34</f>
        <v>0</v>
      </c>
      <c r="G38" s="18">
        <f>'Raw Data'!G34</f>
        <v>1950</v>
      </c>
      <c r="H38" s="34">
        <f t="shared" si="0"/>
        <v>2327.75</v>
      </c>
      <c r="L38" s="66">
        <f t="shared" si="1"/>
        <v>-377.75</v>
      </c>
      <c r="M38" s="67">
        <f t="shared" si="2"/>
        <v>0.19371794871794873</v>
      </c>
    </row>
    <row r="39" spans="1:13" ht="15" customHeight="1" x14ac:dyDescent="0.3">
      <c r="A39" s="19">
        <f>'Raw Data'!A35</f>
        <v>44502</v>
      </c>
      <c r="B39" s="20">
        <f>'Raw Data'!B35</f>
        <v>3</v>
      </c>
      <c r="C39" s="20" t="str">
        <f>'Raw Data'!C35</f>
        <v>Wednesday</v>
      </c>
      <c r="D39" s="20">
        <f>'Raw Data'!D35</f>
        <v>1</v>
      </c>
      <c r="E39" s="20">
        <f>'Raw Data'!E35</f>
        <v>0</v>
      </c>
      <c r="F39" s="20">
        <f>'Raw Data'!F35</f>
        <v>0</v>
      </c>
      <c r="G39" s="22">
        <f>'Raw Data'!G35</f>
        <v>1748</v>
      </c>
      <c r="H39" s="36">
        <f t="shared" si="0"/>
        <v>2795.5</v>
      </c>
      <c r="L39" s="66">
        <f t="shared" si="1"/>
        <v>-1047.5</v>
      </c>
      <c r="M39" s="67">
        <f t="shared" si="2"/>
        <v>0.59925629290617854</v>
      </c>
    </row>
    <row r="40" spans="1:13" ht="15" customHeight="1" x14ac:dyDescent="0.3">
      <c r="A40" s="16">
        <f>'Raw Data'!A36</f>
        <v>44503</v>
      </c>
      <c r="B40" s="17">
        <f>'Raw Data'!B36</f>
        <v>4</v>
      </c>
      <c r="C40" s="17" t="str">
        <f>'Raw Data'!C36</f>
        <v>Thursday</v>
      </c>
      <c r="D40" s="17">
        <f>'Raw Data'!D36</f>
        <v>1</v>
      </c>
      <c r="E40" s="17">
        <f>'Raw Data'!E36</f>
        <v>0</v>
      </c>
      <c r="F40" s="17">
        <f>'Raw Data'!F36</f>
        <v>0</v>
      </c>
      <c r="G40" s="18">
        <f>'Raw Data'!G36</f>
        <v>2186</v>
      </c>
      <c r="H40" s="34">
        <f t="shared" ref="H40:H61" si="3">VLOOKUP(B40,$N$5:$P$11,3,FALSE())</f>
        <v>2911.375</v>
      </c>
      <c r="L40" s="66">
        <f t="shared" ref="L40:L49" si="4">G30-H40</f>
        <v>2576.625</v>
      </c>
      <c r="M40" s="67">
        <f t="shared" ref="M40:M49" si="5">ABS((G30-H40)/G30)</f>
        <v>0.46950163994169097</v>
      </c>
    </row>
    <row r="41" spans="1:13" ht="15" customHeight="1" x14ac:dyDescent="0.3">
      <c r="A41" s="19">
        <f>'Raw Data'!A37</f>
        <v>44504</v>
      </c>
      <c r="B41" s="20">
        <f>'Raw Data'!B37</f>
        <v>5</v>
      </c>
      <c r="C41" s="20" t="str">
        <f>'Raw Data'!C37</f>
        <v>Friday</v>
      </c>
      <c r="D41" s="20">
        <f>'Raw Data'!D37</f>
        <v>1</v>
      </c>
      <c r="E41" s="20">
        <f>'Raw Data'!E37</f>
        <v>0</v>
      </c>
      <c r="F41" s="20">
        <f>'Raw Data'!F37</f>
        <v>0</v>
      </c>
      <c r="G41" s="22">
        <f>'Raw Data'!G37</f>
        <v>1983</v>
      </c>
      <c r="H41" s="36">
        <f t="shared" si="3"/>
        <v>2723.75</v>
      </c>
      <c r="L41" s="66">
        <f t="shared" si="4"/>
        <v>-532.75</v>
      </c>
      <c r="M41" s="67">
        <f t="shared" si="5"/>
        <v>0.24315381104518485</v>
      </c>
    </row>
    <row r="42" spans="1:13" ht="15" customHeight="1" x14ac:dyDescent="0.3">
      <c r="A42" s="16">
        <f>'Raw Data'!A38</f>
        <v>44505</v>
      </c>
      <c r="B42" s="17">
        <f>'Raw Data'!B38</f>
        <v>6</v>
      </c>
      <c r="C42" s="17" t="str">
        <f>'Raw Data'!C38</f>
        <v>Saturday</v>
      </c>
      <c r="D42" s="17">
        <f>'Raw Data'!D38</f>
        <v>1</v>
      </c>
      <c r="E42" s="17">
        <f>'Raw Data'!E38</f>
        <v>0</v>
      </c>
      <c r="F42" s="17">
        <f>'Raw Data'!F38</f>
        <v>0</v>
      </c>
      <c r="G42" s="18">
        <f>'Raw Data'!G38</f>
        <v>2214</v>
      </c>
      <c r="H42" s="34">
        <f t="shared" si="3"/>
        <v>2428.2222222222222</v>
      </c>
      <c r="L42" s="66">
        <f t="shared" si="4"/>
        <v>-484.22222222222217</v>
      </c>
      <c r="M42" s="67">
        <f t="shared" si="5"/>
        <v>0.24908550525834475</v>
      </c>
    </row>
    <row r="43" spans="1:13" ht="15" customHeight="1" x14ac:dyDescent="0.3">
      <c r="A43" s="19">
        <f>'Raw Data'!A39</f>
        <v>44506</v>
      </c>
      <c r="B43" s="20">
        <f>'Raw Data'!B39</f>
        <v>7</v>
      </c>
      <c r="C43" s="20" t="str">
        <f>'Raw Data'!C39</f>
        <v>Sunday</v>
      </c>
      <c r="D43" s="20">
        <f>'Raw Data'!D39</f>
        <v>1</v>
      </c>
      <c r="E43" s="20">
        <f>'Raw Data'!E39</f>
        <v>1</v>
      </c>
      <c r="F43" s="20">
        <f>'Raw Data'!F39</f>
        <v>0</v>
      </c>
      <c r="G43" s="22">
        <f>'Raw Data'!G39</f>
        <v>4930</v>
      </c>
      <c r="H43" s="36">
        <f t="shared" si="3"/>
        <v>3670</v>
      </c>
      <c r="L43" s="66">
        <f t="shared" si="4"/>
        <v>-715</v>
      </c>
      <c r="M43" s="67">
        <f t="shared" si="5"/>
        <v>0.24196277495769883</v>
      </c>
    </row>
    <row r="44" spans="1:13" ht="15" customHeight="1" x14ac:dyDescent="0.3">
      <c r="A44" s="16">
        <f>'Raw Data'!A40</f>
        <v>44507</v>
      </c>
      <c r="B44" s="17">
        <f>'Raw Data'!B40</f>
        <v>1</v>
      </c>
      <c r="C44" s="17" t="str">
        <f>'Raw Data'!C40</f>
        <v>Monday</v>
      </c>
      <c r="D44" s="17">
        <f>'Raw Data'!D40</f>
        <v>1</v>
      </c>
      <c r="E44" s="17">
        <f>'Raw Data'!E40</f>
        <v>1</v>
      </c>
      <c r="F44" s="17">
        <f>'Raw Data'!F40</f>
        <v>0</v>
      </c>
      <c r="G44" s="18">
        <f>'Raw Data'!G30</f>
        <v>4089</v>
      </c>
      <c r="H44" s="34">
        <f t="shared" si="3"/>
        <v>3684.1111111111113</v>
      </c>
      <c r="L44" s="66">
        <f t="shared" si="4"/>
        <v>404.88888888888869</v>
      </c>
      <c r="M44" s="67">
        <f t="shared" si="5"/>
        <v>9.9019048395423984E-2</v>
      </c>
    </row>
    <row r="45" spans="1:13" ht="15" customHeight="1" x14ac:dyDescent="0.3">
      <c r="A45" s="19">
        <f>'Raw Data'!A41</f>
        <v>44508</v>
      </c>
      <c r="B45" s="20">
        <f>'Raw Data'!B41</f>
        <v>2</v>
      </c>
      <c r="C45" s="20" t="str">
        <f>'Raw Data'!C41</f>
        <v>Tuesday</v>
      </c>
      <c r="D45" s="20">
        <f>'Raw Data'!D41</f>
        <v>0</v>
      </c>
      <c r="E45" s="20">
        <f>'Raw Data'!E41</f>
        <v>0</v>
      </c>
      <c r="F45" s="20">
        <f>'Raw Data'!F41</f>
        <v>0</v>
      </c>
      <c r="G45" s="22">
        <f>'Raw Data'!G31</f>
        <v>2104</v>
      </c>
      <c r="H45" s="36">
        <f t="shared" si="3"/>
        <v>2327.75</v>
      </c>
      <c r="L45" s="66">
        <f t="shared" si="4"/>
        <v>-223.75</v>
      </c>
      <c r="M45" s="67">
        <f t="shared" si="5"/>
        <v>0.10634505703422054</v>
      </c>
    </row>
    <row r="46" spans="1:13" ht="15" customHeight="1" x14ac:dyDescent="0.3">
      <c r="A46" s="16">
        <f>'Raw Data'!A42</f>
        <v>44509</v>
      </c>
      <c r="B46" s="17">
        <f>'Raw Data'!B42</f>
        <v>3</v>
      </c>
      <c r="C46" s="17" t="str">
        <f>'Raw Data'!C42</f>
        <v>Wednesday</v>
      </c>
      <c r="D46" s="17">
        <f>'Raw Data'!D42</f>
        <v>0</v>
      </c>
      <c r="E46" s="17">
        <f>'Raw Data'!E42</f>
        <v>0</v>
      </c>
      <c r="F46" s="17">
        <f>'Raw Data'!F42</f>
        <v>1</v>
      </c>
      <c r="G46" s="18">
        <f>'Raw Data'!G32</f>
        <v>4240</v>
      </c>
      <c r="H46" s="34">
        <f t="shared" si="3"/>
        <v>2795.5</v>
      </c>
      <c r="L46" s="66">
        <f t="shared" si="4"/>
        <v>1444.5</v>
      </c>
      <c r="M46" s="67">
        <f t="shared" si="5"/>
        <v>0.34068396226415093</v>
      </c>
    </row>
    <row r="47" spans="1:13" ht="15" customHeight="1" x14ac:dyDescent="0.3">
      <c r="A47" s="19">
        <f>'Raw Data'!A43</f>
        <v>44510</v>
      </c>
      <c r="B47" s="20">
        <f>'Raw Data'!B43</f>
        <v>4</v>
      </c>
      <c r="C47" s="20" t="str">
        <f>'Raw Data'!C43</f>
        <v>Thursday</v>
      </c>
      <c r="D47" s="20">
        <f>'Raw Data'!D43</f>
        <v>0</v>
      </c>
      <c r="E47" s="20">
        <f>'Raw Data'!E43</f>
        <v>0</v>
      </c>
      <c r="F47" s="20">
        <f>'Raw Data'!F43</f>
        <v>0</v>
      </c>
      <c r="G47" s="22">
        <f>'Raw Data'!G33</f>
        <v>2190</v>
      </c>
      <c r="H47" s="36">
        <f t="shared" si="3"/>
        <v>2911.375</v>
      </c>
      <c r="L47" s="66">
        <f t="shared" si="4"/>
        <v>-721.375</v>
      </c>
      <c r="M47" s="67">
        <f t="shared" si="5"/>
        <v>0.32939497716894978</v>
      </c>
    </row>
    <row r="48" spans="1:13" ht="15" customHeight="1" x14ac:dyDescent="0.3">
      <c r="A48" s="16">
        <f>'Raw Data'!A44</f>
        <v>44511</v>
      </c>
      <c r="B48" s="17">
        <f>'Raw Data'!B44</f>
        <v>5</v>
      </c>
      <c r="C48" s="17" t="str">
        <f>'Raw Data'!C44</f>
        <v>Friday</v>
      </c>
      <c r="D48" s="17">
        <f>'Raw Data'!D44</f>
        <v>0</v>
      </c>
      <c r="E48" s="17">
        <f>'Raw Data'!E44</f>
        <v>0</v>
      </c>
      <c r="F48" s="17">
        <f>'Raw Data'!F44</f>
        <v>0</v>
      </c>
      <c r="G48" s="18">
        <f>'Raw Data'!G34</f>
        <v>1950</v>
      </c>
      <c r="H48" s="34">
        <f t="shared" si="3"/>
        <v>2723.75</v>
      </c>
      <c r="L48" s="66">
        <f t="shared" si="4"/>
        <v>-773.75</v>
      </c>
      <c r="M48" s="67">
        <f t="shared" si="5"/>
        <v>0.39679487179487177</v>
      </c>
    </row>
    <row r="49" spans="1:13" ht="15" customHeight="1" x14ac:dyDescent="0.3">
      <c r="A49" s="19">
        <f>'Raw Data'!A45</f>
        <v>44512</v>
      </c>
      <c r="B49" s="20">
        <f>'Raw Data'!B45</f>
        <v>6</v>
      </c>
      <c r="C49" s="20" t="str">
        <f>'Raw Data'!C45</f>
        <v>Saturday</v>
      </c>
      <c r="D49" s="20">
        <f>'Raw Data'!D45</f>
        <v>0</v>
      </c>
      <c r="E49" s="20">
        <f>'Raw Data'!E45</f>
        <v>0</v>
      </c>
      <c r="F49" s="20">
        <f>'Raw Data'!F45</f>
        <v>0</v>
      </c>
      <c r="G49" s="22">
        <f>'Raw Data'!G35</f>
        <v>1748</v>
      </c>
      <c r="H49" s="36">
        <f t="shared" si="3"/>
        <v>2428.2222222222222</v>
      </c>
      <c r="L49" s="66">
        <f t="shared" si="4"/>
        <v>-680.22222222222217</v>
      </c>
      <c r="M49" s="67">
        <f t="shared" si="5"/>
        <v>0.38914314772438341</v>
      </c>
    </row>
    <row r="50" spans="1:13" ht="15" customHeight="1" x14ac:dyDescent="0.3">
      <c r="A50" s="16">
        <f>'Raw Data'!A46</f>
        <v>44513</v>
      </c>
      <c r="B50" s="17">
        <f>'Raw Data'!B46</f>
        <v>7</v>
      </c>
      <c r="C50" s="17" t="str">
        <f>'Raw Data'!C46</f>
        <v>Sunday</v>
      </c>
      <c r="D50" s="17">
        <f>'Raw Data'!D46</f>
        <v>0</v>
      </c>
      <c r="E50" s="17">
        <f>'Raw Data'!E46</f>
        <v>1</v>
      </c>
      <c r="F50" s="17">
        <f>'Raw Data'!F46</f>
        <v>0</v>
      </c>
      <c r="G50" s="18">
        <f>'Raw Data'!G36</f>
        <v>2186</v>
      </c>
      <c r="H50" s="34">
        <f t="shared" si="3"/>
        <v>3670</v>
      </c>
      <c r="L50" s="66">
        <f t="shared" ref="L50:L61" si="6">G50-H50</f>
        <v>-1484</v>
      </c>
      <c r="M50" s="67">
        <f t="shared" ref="M50:M61" si="7">ABS((G50-H50)/G50)</f>
        <v>0.67886550777676125</v>
      </c>
    </row>
    <row r="51" spans="1:13" ht="15" customHeight="1" x14ac:dyDescent="0.3">
      <c r="A51" s="19">
        <f>'Raw Data'!A47</f>
        <v>44514</v>
      </c>
      <c r="B51" s="20">
        <f>'Raw Data'!B47</f>
        <v>1</v>
      </c>
      <c r="C51" s="20" t="str">
        <f>'Raw Data'!C47</f>
        <v>Monday</v>
      </c>
      <c r="D51" s="20">
        <f>'Raw Data'!D47</f>
        <v>0</v>
      </c>
      <c r="E51" s="20">
        <f>'Raw Data'!E47</f>
        <v>1</v>
      </c>
      <c r="F51" s="20">
        <f>'Raw Data'!F47</f>
        <v>0</v>
      </c>
      <c r="G51" s="22">
        <f>'Raw Data'!G37</f>
        <v>1983</v>
      </c>
      <c r="H51" s="36">
        <f t="shared" si="3"/>
        <v>3684.1111111111113</v>
      </c>
      <c r="L51" s="66">
        <f t="shared" si="6"/>
        <v>-1701.1111111111113</v>
      </c>
      <c r="M51" s="67">
        <f t="shared" si="7"/>
        <v>0.85784725724211364</v>
      </c>
    </row>
    <row r="52" spans="1:13" ht="15" customHeight="1" x14ac:dyDescent="0.3">
      <c r="A52" s="16">
        <f>'Raw Data'!A48</f>
        <v>44515</v>
      </c>
      <c r="B52" s="17">
        <f>'Raw Data'!B48</f>
        <v>2</v>
      </c>
      <c r="C52" s="17" t="str">
        <f>'Raw Data'!C48</f>
        <v>Tuesday</v>
      </c>
      <c r="D52" s="17">
        <f>'Raw Data'!D48</f>
        <v>0</v>
      </c>
      <c r="E52" s="17">
        <f>'Raw Data'!E48</f>
        <v>0</v>
      </c>
      <c r="F52" s="17">
        <f>'Raw Data'!F48</f>
        <v>0</v>
      </c>
      <c r="G52" s="18">
        <f>'Raw Data'!G38</f>
        <v>2214</v>
      </c>
      <c r="H52" s="34">
        <f t="shared" si="3"/>
        <v>2327.75</v>
      </c>
      <c r="L52" s="66">
        <f t="shared" si="6"/>
        <v>-113.75</v>
      </c>
      <c r="M52" s="67">
        <f t="shared" si="7"/>
        <v>5.1377597109304424E-2</v>
      </c>
    </row>
    <row r="53" spans="1:13" ht="15" customHeight="1" x14ac:dyDescent="0.3">
      <c r="A53" s="19">
        <f>'Raw Data'!A49</f>
        <v>44516</v>
      </c>
      <c r="B53" s="20">
        <f>'Raw Data'!B49</f>
        <v>3</v>
      </c>
      <c r="C53" s="20" t="str">
        <f>'Raw Data'!C49</f>
        <v>Wednesday</v>
      </c>
      <c r="D53" s="20">
        <f>'Raw Data'!D49</f>
        <v>0</v>
      </c>
      <c r="E53" s="20">
        <f>'Raw Data'!E49</f>
        <v>0</v>
      </c>
      <c r="F53" s="20">
        <f>'Raw Data'!F49</f>
        <v>0</v>
      </c>
      <c r="G53" s="22">
        <f>'Raw Data'!G39</f>
        <v>4930</v>
      </c>
      <c r="H53" s="36">
        <f t="shared" si="3"/>
        <v>2795.5</v>
      </c>
      <c r="L53" s="66">
        <f t="shared" si="6"/>
        <v>2134.5</v>
      </c>
      <c r="M53" s="67">
        <f t="shared" si="7"/>
        <v>0.43296146044624745</v>
      </c>
    </row>
    <row r="54" spans="1:13" ht="15" customHeight="1" x14ac:dyDescent="0.3">
      <c r="A54" s="16">
        <f>'Raw Data'!A50</f>
        <v>44517</v>
      </c>
      <c r="B54" s="17">
        <f>'Raw Data'!B50</f>
        <v>4</v>
      </c>
      <c r="C54" s="17" t="str">
        <f>'Raw Data'!C50</f>
        <v>Thursday</v>
      </c>
      <c r="D54" s="17">
        <f>'Raw Data'!D50</f>
        <v>0</v>
      </c>
      <c r="E54" s="17">
        <f>'Raw Data'!E50</f>
        <v>0</v>
      </c>
      <c r="F54" s="17">
        <f>'Raw Data'!F50</f>
        <v>0</v>
      </c>
      <c r="G54" s="18">
        <f>'Raw Data'!G50</f>
        <v>2159</v>
      </c>
      <c r="H54" s="34">
        <f t="shared" si="3"/>
        <v>2911.375</v>
      </c>
      <c r="L54" s="66">
        <f t="shared" si="6"/>
        <v>-752.375</v>
      </c>
      <c r="M54" s="67">
        <f t="shared" si="7"/>
        <v>0.3484830940250116</v>
      </c>
    </row>
    <row r="55" spans="1:13" ht="15" customHeight="1" x14ac:dyDescent="0.3">
      <c r="A55" s="19">
        <f>'Raw Data'!A51</f>
        <v>44518</v>
      </c>
      <c r="B55" s="20">
        <f>'Raw Data'!B51</f>
        <v>5</v>
      </c>
      <c r="C55" s="20" t="str">
        <f>'Raw Data'!C51</f>
        <v>Friday</v>
      </c>
      <c r="D55" s="20">
        <f>'Raw Data'!D51</f>
        <v>0</v>
      </c>
      <c r="E55" s="20">
        <f>'Raw Data'!E51</f>
        <v>0</v>
      </c>
      <c r="F55" s="20">
        <f>'Raw Data'!F51</f>
        <v>0</v>
      </c>
      <c r="G55" s="22">
        <f>'Raw Data'!G51</f>
        <v>2747</v>
      </c>
      <c r="H55" s="36">
        <f t="shared" si="3"/>
        <v>2723.75</v>
      </c>
      <c r="L55" s="66">
        <f t="shared" si="6"/>
        <v>23.25</v>
      </c>
      <c r="M55" s="67">
        <f t="shared" si="7"/>
        <v>8.4637786676374227E-3</v>
      </c>
    </row>
    <row r="56" spans="1:13" ht="15" customHeight="1" x14ac:dyDescent="0.3">
      <c r="A56" s="16">
        <f>'Raw Data'!A52</f>
        <v>44519</v>
      </c>
      <c r="B56" s="17">
        <f>'Raw Data'!B52</f>
        <v>6</v>
      </c>
      <c r="C56" s="17" t="str">
        <f>'Raw Data'!C52</f>
        <v>Saturday</v>
      </c>
      <c r="D56" s="17">
        <f>'Raw Data'!D52</f>
        <v>0</v>
      </c>
      <c r="E56" s="17">
        <f>'Raw Data'!E52</f>
        <v>0</v>
      </c>
      <c r="F56" s="17">
        <f>'Raw Data'!F52</f>
        <v>0</v>
      </c>
      <c r="G56" s="18">
        <f>'Raw Data'!G52</f>
        <v>2382</v>
      </c>
      <c r="H56" s="34">
        <f t="shared" si="3"/>
        <v>2428.2222222222222</v>
      </c>
      <c r="L56" s="66">
        <f t="shared" si="6"/>
        <v>-46.222222222222172</v>
      </c>
      <c r="M56" s="67">
        <f t="shared" si="7"/>
        <v>1.9404795223435002E-2</v>
      </c>
    </row>
    <row r="57" spans="1:13" ht="15" customHeight="1" x14ac:dyDescent="0.3">
      <c r="A57" s="19">
        <f>'Raw Data'!A53</f>
        <v>44520</v>
      </c>
      <c r="B57" s="20">
        <f>'Raw Data'!B53</f>
        <v>7</v>
      </c>
      <c r="C57" s="20" t="str">
        <f>'Raw Data'!C53</f>
        <v>Sunday</v>
      </c>
      <c r="D57" s="20">
        <f>'Raw Data'!D53</f>
        <v>0</v>
      </c>
      <c r="E57" s="20">
        <f>'Raw Data'!E53</f>
        <v>1</v>
      </c>
      <c r="F57" s="20">
        <f>'Raw Data'!F53</f>
        <v>0</v>
      </c>
      <c r="G57" s="22">
        <f>'Raw Data'!G53</f>
        <v>2551</v>
      </c>
      <c r="H57" s="36">
        <f t="shared" si="3"/>
        <v>3670</v>
      </c>
      <c r="L57" s="66">
        <f t="shared" si="6"/>
        <v>-1119</v>
      </c>
      <c r="M57" s="67">
        <f t="shared" si="7"/>
        <v>0.43865150921207369</v>
      </c>
    </row>
    <row r="58" spans="1:13" ht="15" customHeight="1" x14ac:dyDescent="0.3">
      <c r="A58" s="16">
        <f>'Raw Data'!A54</f>
        <v>44521</v>
      </c>
      <c r="B58" s="17">
        <f>'Raw Data'!B54</f>
        <v>1</v>
      </c>
      <c r="C58" s="17" t="str">
        <f>'Raw Data'!C54</f>
        <v>Monday</v>
      </c>
      <c r="D58" s="17">
        <f>'Raw Data'!D54</f>
        <v>0</v>
      </c>
      <c r="E58" s="17">
        <f>'Raw Data'!E54</f>
        <v>1</v>
      </c>
      <c r="F58" s="17">
        <f>'Raw Data'!F54</f>
        <v>0</v>
      </c>
      <c r="G58" s="18">
        <f>'Raw Data'!G54</f>
        <v>3653</v>
      </c>
      <c r="H58" s="34">
        <f t="shared" si="3"/>
        <v>3684.1111111111113</v>
      </c>
      <c r="L58" s="66">
        <f t="shared" si="6"/>
        <v>-31.111111111111313</v>
      </c>
      <c r="M58" s="67">
        <f t="shared" si="7"/>
        <v>8.51659214648544E-3</v>
      </c>
    </row>
    <row r="59" spans="1:13" ht="15" customHeight="1" x14ac:dyDescent="0.3">
      <c r="A59" s="19">
        <f>'Raw Data'!A55</f>
        <v>44522</v>
      </c>
      <c r="B59" s="20">
        <f>'Raw Data'!B55</f>
        <v>2</v>
      </c>
      <c r="C59" s="20" t="str">
        <f>'Raw Data'!C55</f>
        <v>Tuesday</v>
      </c>
      <c r="D59" s="20">
        <f>'Raw Data'!D55</f>
        <v>0</v>
      </c>
      <c r="E59" s="20">
        <f>'Raw Data'!E55</f>
        <v>0</v>
      </c>
      <c r="F59" s="20">
        <f>'Raw Data'!F55</f>
        <v>0</v>
      </c>
      <c r="G59" s="22">
        <f>'Raw Data'!G55</f>
        <v>2375</v>
      </c>
      <c r="H59" s="36">
        <f t="shared" si="3"/>
        <v>2327.75</v>
      </c>
      <c r="L59" s="66">
        <f t="shared" si="6"/>
        <v>47.25</v>
      </c>
      <c r="M59" s="67">
        <f t="shared" si="7"/>
        <v>1.9894736842105264E-2</v>
      </c>
    </row>
    <row r="60" spans="1:13" ht="15" customHeight="1" x14ac:dyDescent="0.3">
      <c r="A60" s="16">
        <f>'Raw Data'!A56</f>
        <v>44523</v>
      </c>
      <c r="B60" s="17">
        <f>'Raw Data'!B56</f>
        <v>3</v>
      </c>
      <c r="C60" s="17" t="str">
        <f>'Raw Data'!C56</f>
        <v>Wednesday</v>
      </c>
      <c r="D60" s="17">
        <f>'Raw Data'!D56</f>
        <v>0</v>
      </c>
      <c r="E60" s="17">
        <f>'Raw Data'!E56</f>
        <v>0</v>
      </c>
      <c r="F60" s="17">
        <f>'Raw Data'!F56</f>
        <v>0</v>
      </c>
      <c r="G60" s="18">
        <f>'Raw Data'!G56</f>
        <v>2545</v>
      </c>
      <c r="H60" s="34">
        <f t="shared" si="3"/>
        <v>2795.5</v>
      </c>
      <c r="L60" s="66">
        <f t="shared" si="6"/>
        <v>-250.5</v>
      </c>
      <c r="M60" s="67">
        <f t="shared" si="7"/>
        <v>9.8428290766208251E-2</v>
      </c>
    </row>
    <row r="61" spans="1:13" ht="15" customHeight="1" x14ac:dyDescent="0.3">
      <c r="A61" s="19">
        <f>'Raw Data'!A57</f>
        <v>44524</v>
      </c>
      <c r="B61" s="20">
        <f>'Raw Data'!B57</f>
        <v>4</v>
      </c>
      <c r="C61" s="20" t="str">
        <f>'Raw Data'!C57</f>
        <v>Thursday</v>
      </c>
      <c r="D61" s="20">
        <f>'Raw Data'!D57</f>
        <v>0</v>
      </c>
      <c r="E61" s="20">
        <f>'Raw Data'!E57</f>
        <v>0</v>
      </c>
      <c r="F61" s="20">
        <f>'Raw Data'!F57</f>
        <v>0</v>
      </c>
      <c r="G61" s="22">
        <f>'Raw Data'!G57</f>
        <v>2820</v>
      </c>
      <c r="H61" s="36">
        <f t="shared" si="3"/>
        <v>2911.375</v>
      </c>
      <c r="L61" s="66">
        <f t="shared" si="6"/>
        <v>-91.375</v>
      </c>
      <c r="M61" s="67">
        <f t="shared" si="7"/>
        <v>3.2402482269503548E-2</v>
      </c>
    </row>
    <row r="62" spans="1:13" ht="15" customHeight="1" x14ac:dyDescent="0.3">
      <c r="A62" s="16">
        <f>'Raw Data'!A58</f>
        <v>44525</v>
      </c>
      <c r="B62" s="17">
        <f>'Raw Data'!B58</f>
        <v>5</v>
      </c>
      <c r="C62" s="17" t="str">
        <f>'Raw Data'!C58</f>
        <v>Friday</v>
      </c>
      <c r="D62" s="17">
        <f>'Raw Data'!D58</f>
        <v>0</v>
      </c>
      <c r="E62" s="17">
        <f>'Raw Data'!E58</f>
        <v>0</v>
      </c>
      <c r="F62" s="17">
        <f>'Raw Data'!F58</f>
        <v>0</v>
      </c>
      <c r="G62" s="18">
        <f>'Raw Data'!G58</f>
        <v>2149</v>
      </c>
      <c r="H62" s="34">
        <f>VLOOKUP(B61,$N$5:$P$11,3,FALSE())</f>
        <v>2911.375</v>
      </c>
      <c r="L62" s="66">
        <f>G61-H62</f>
        <v>-91.375</v>
      </c>
      <c r="M62" s="67">
        <f>ABS((G61-H62)/G61)</f>
        <v>3.2402482269503548E-2</v>
      </c>
    </row>
    <row r="63" spans="1:13" ht="15" customHeight="1" x14ac:dyDescent="0.3">
      <c r="A63" s="19">
        <f>'Raw Data'!A59</f>
        <v>44526</v>
      </c>
      <c r="B63" s="20">
        <f>'Raw Data'!B59</f>
        <v>6</v>
      </c>
      <c r="C63" s="20" t="str">
        <f>'Raw Data'!C59</f>
        <v>Saturday</v>
      </c>
      <c r="D63" s="20">
        <f>'Raw Data'!D59</f>
        <v>0</v>
      </c>
      <c r="E63" s="20">
        <f>'Raw Data'!E59</f>
        <v>0</v>
      </c>
      <c r="F63" s="20">
        <f>'Raw Data'!F59</f>
        <v>0</v>
      </c>
      <c r="G63" s="22">
        <f>'Raw Data'!G59</f>
        <v>2567</v>
      </c>
      <c r="H63" s="36">
        <f>VLOOKUP(B63,$N$5:$P$11,3,FALSE())</f>
        <v>2428.2222222222222</v>
      </c>
      <c r="L63" s="66">
        <f>G63-H63</f>
        <v>138.77777777777783</v>
      </c>
      <c r="M63" s="67">
        <f>ABS((G63-H63)/G63)</f>
        <v>5.4062242998744771E-2</v>
      </c>
    </row>
    <row r="64" spans="1:13" ht="15" customHeight="1" x14ac:dyDescent="0.3">
      <c r="A64" s="16">
        <f>'Raw Data'!A60</f>
        <v>44527</v>
      </c>
      <c r="B64" s="17">
        <f>'Raw Data'!B60</f>
        <v>7</v>
      </c>
      <c r="C64" s="17" t="str">
        <f>'Raw Data'!C60</f>
        <v>Sunday</v>
      </c>
      <c r="D64" s="17">
        <f>'Raw Data'!D60</f>
        <v>0</v>
      </c>
      <c r="E64" s="17">
        <f>'Raw Data'!E60</f>
        <v>1</v>
      </c>
      <c r="F64" s="17">
        <f>'Raw Data'!F60</f>
        <v>0</v>
      </c>
      <c r="G64" s="18">
        <f>'Raw Data'!G60</f>
        <v>3779</v>
      </c>
      <c r="H64" s="34">
        <f>VLOOKUP(B64,$N$5:$P$11,3,FALSE())</f>
        <v>3670</v>
      </c>
      <c r="L64" s="66">
        <f>G64-H64</f>
        <v>109</v>
      </c>
      <c r="M64" s="67">
        <f>ABS((G64-H64)/G64)</f>
        <v>2.8843609420481611E-2</v>
      </c>
    </row>
    <row r="65" spans="1:13" ht="15" customHeight="1" x14ac:dyDescent="0.3">
      <c r="A65" s="19">
        <f>'Raw Data'!A61</f>
        <v>44528</v>
      </c>
      <c r="B65" s="20">
        <f>'Raw Data'!B61</f>
        <v>1</v>
      </c>
      <c r="C65" s="20" t="str">
        <f>'Raw Data'!C61</f>
        <v>Monday</v>
      </c>
      <c r="D65" s="20">
        <f>'Raw Data'!D61</f>
        <v>0</v>
      </c>
      <c r="E65" s="20">
        <f>'Raw Data'!E61</f>
        <v>1</v>
      </c>
      <c r="F65" s="20">
        <f>'Raw Data'!F61</f>
        <v>0</v>
      </c>
      <c r="G65" s="22">
        <f>'Raw Data'!G61</f>
        <v>2933</v>
      </c>
      <c r="H65" s="36">
        <f>VLOOKUP(B65,$N$5:$P$11,3,FALSE())</f>
        <v>3684.1111111111113</v>
      </c>
      <c r="L65" s="66">
        <f>G65-H65</f>
        <v>-751.11111111111131</v>
      </c>
      <c r="M65" s="67">
        <f>ABS((G65-H65)/G65)</f>
        <v>0.25608970716369289</v>
      </c>
    </row>
    <row r="66" spans="1:13" ht="15" customHeight="1" x14ac:dyDescent="0.3">
      <c r="A66" s="16">
        <f>'Raw Data'!A62</f>
        <v>44529</v>
      </c>
      <c r="B66" s="17">
        <f>'Raw Data'!B61</f>
        <v>1</v>
      </c>
      <c r="C66" s="17" t="str">
        <f>'Raw Data'!C62</f>
        <v>Tuesday</v>
      </c>
      <c r="D66" s="17">
        <f>'Raw Data'!D61</f>
        <v>0</v>
      </c>
      <c r="E66" s="17">
        <f>'Raw Data'!E62</f>
        <v>0</v>
      </c>
      <c r="F66" s="17">
        <f>'Raw Data'!F61</f>
        <v>0</v>
      </c>
      <c r="G66" s="18">
        <f>'Raw Data'!G61</f>
        <v>2933</v>
      </c>
      <c r="H66" s="34">
        <f>VLOOKUP(B66,$N$5:$P$11,3,FALSE())</f>
        <v>3684.1111111111113</v>
      </c>
      <c r="L66" s="66">
        <f>G66-H66</f>
        <v>-751.11111111111131</v>
      </c>
      <c r="M66" s="67">
        <f>ABS((G66-H66)/G66)</f>
        <v>0.25608970716369289</v>
      </c>
    </row>
    <row r="67" spans="1:13" ht="15" customHeight="1" x14ac:dyDescent="0.3">
      <c r="A67" s="10" t="s">
        <v>38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</row>
    <row r="68" spans="1:13" ht="15" customHeight="1" x14ac:dyDescent="0.3">
      <c r="A68" s="25">
        <f>'Raw Data'!A63</f>
        <v>44530</v>
      </c>
      <c r="B68" s="26">
        <f>'Raw Data'!B63</f>
        <v>3</v>
      </c>
      <c r="C68" s="26" t="str">
        <f>'Raw Data'!C63</f>
        <v>Wednesday</v>
      </c>
      <c r="D68" s="26">
        <f>'Raw Data'!D63</f>
        <v>0</v>
      </c>
      <c r="E68" s="26">
        <f>'Raw Data'!E63</f>
        <v>0</v>
      </c>
      <c r="F68" s="26">
        <f>'Raw Data'!F63</f>
        <v>0</v>
      </c>
      <c r="G68" s="27">
        <f>'Raw Data'!G63</f>
        <v>2789</v>
      </c>
      <c r="H68" s="38">
        <f t="shared" ref="H68:H82" si="8">VLOOKUP(B68,$N$5:$P$11,3,FALSE())</f>
        <v>2795.5</v>
      </c>
      <c r="L68" s="66">
        <f t="shared" ref="L68:L81" si="9">G68-H68</f>
        <v>-6.5</v>
      </c>
      <c r="M68" s="67">
        <f t="shared" ref="M68:M81" si="10">ABS((G68-H68)/G68)</f>
        <v>2.3305844388669776E-3</v>
      </c>
    </row>
    <row r="69" spans="1:13" ht="15" customHeight="1" x14ac:dyDescent="0.3">
      <c r="A69" s="40">
        <f>'Raw Data'!A64</f>
        <v>44531</v>
      </c>
      <c r="B69" s="41">
        <f>'Raw Data'!B64</f>
        <v>4</v>
      </c>
      <c r="C69" s="41" t="str">
        <f>'Raw Data'!C64</f>
        <v>Thursday</v>
      </c>
      <c r="D69" s="41">
        <f>'Raw Data'!D64</f>
        <v>0</v>
      </c>
      <c r="E69" s="41">
        <f>'Raw Data'!E64</f>
        <v>0</v>
      </c>
      <c r="F69" s="41">
        <f>'Raw Data'!F64</f>
        <v>0</v>
      </c>
      <c r="G69" s="42">
        <f>'Raw Data'!G64</f>
        <v>2400</v>
      </c>
      <c r="H69" s="43">
        <f t="shared" si="8"/>
        <v>2911.375</v>
      </c>
      <c r="L69" s="66">
        <f t="shared" si="9"/>
        <v>-511.375</v>
      </c>
      <c r="M69" s="67">
        <f t="shared" si="10"/>
        <v>0.21307291666666667</v>
      </c>
    </row>
    <row r="70" spans="1:13" ht="15" customHeight="1" x14ac:dyDescent="0.3">
      <c r="A70" s="25">
        <f>'Raw Data'!A65</f>
        <v>44532</v>
      </c>
      <c r="B70" s="26">
        <f>'Raw Data'!B65</f>
        <v>5</v>
      </c>
      <c r="C70" s="26" t="str">
        <f>'Raw Data'!C65</f>
        <v>Friday</v>
      </c>
      <c r="D70" s="26">
        <f>'Raw Data'!D65</f>
        <v>0</v>
      </c>
      <c r="E70" s="26">
        <f>'Raw Data'!E65</f>
        <v>0</v>
      </c>
      <c r="F70" s="26">
        <f>'Raw Data'!F65</f>
        <v>0</v>
      </c>
      <c r="G70" s="27">
        <f>'Raw Data'!G65</f>
        <v>2394</v>
      </c>
      <c r="H70" s="38">
        <f t="shared" si="8"/>
        <v>2723.75</v>
      </c>
      <c r="L70" s="66">
        <f t="shared" si="9"/>
        <v>-329.75</v>
      </c>
      <c r="M70" s="67">
        <f t="shared" si="10"/>
        <v>0.13774018379281538</v>
      </c>
    </row>
    <row r="71" spans="1:13" ht="15" customHeight="1" x14ac:dyDescent="0.3">
      <c r="A71" s="40">
        <f>'Raw Data'!A66</f>
        <v>44533</v>
      </c>
      <c r="B71" s="41">
        <f>'Raw Data'!B66</f>
        <v>6</v>
      </c>
      <c r="C71" s="41" t="str">
        <f>'Raw Data'!C66</f>
        <v>Saturday</v>
      </c>
      <c r="D71" s="41">
        <f>'Raw Data'!D66</f>
        <v>0</v>
      </c>
      <c r="E71" s="41">
        <f>'Raw Data'!E66</f>
        <v>0</v>
      </c>
      <c r="F71" s="41">
        <f>'Raw Data'!F66</f>
        <v>1</v>
      </c>
      <c r="G71" s="42">
        <f>'Raw Data'!G66</f>
        <v>4678</v>
      </c>
      <c r="H71" s="43">
        <f t="shared" si="8"/>
        <v>2428.2222222222222</v>
      </c>
      <c r="L71" s="66">
        <f t="shared" si="9"/>
        <v>2249.7777777777778</v>
      </c>
      <c r="M71" s="67">
        <f t="shared" si="10"/>
        <v>0.48092727186356943</v>
      </c>
    </row>
    <row r="72" spans="1:13" ht="15" customHeight="1" x14ac:dyDescent="0.3">
      <c r="A72" s="25">
        <f>'Raw Data'!A67</f>
        <v>44534</v>
      </c>
      <c r="B72" s="26">
        <f>'Raw Data'!B67</f>
        <v>7</v>
      </c>
      <c r="C72" s="26" t="str">
        <f>'Raw Data'!C67</f>
        <v>Sunday</v>
      </c>
      <c r="D72" s="26">
        <f>'Raw Data'!D67</f>
        <v>0</v>
      </c>
      <c r="E72" s="26">
        <f>'Raw Data'!E67</f>
        <v>1</v>
      </c>
      <c r="F72" s="26">
        <f>'Raw Data'!F67</f>
        <v>0</v>
      </c>
      <c r="G72" s="27">
        <f>'Raw Data'!G67</f>
        <v>3483</v>
      </c>
      <c r="H72" s="38">
        <f t="shared" si="8"/>
        <v>3670</v>
      </c>
      <c r="L72" s="66">
        <f t="shared" si="9"/>
        <v>-187</v>
      </c>
      <c r="M72" s="67">
        <f t="shared" si="10"/>
        <v>5.3689348262991675E-2</v>
      </c>
    </row>
    <row r="73" spans="1:13" ht="15" customHeight="1" x14ac:dyDescent="0.3">
      <c r="A73" s="40">
        <f>'Raw Data'!A68</f>
        <v>44535</v>
      </c>
      <c r="B73" s="41">
        <f>'Raw Data'!B68</f>
        <v>1</v>
      </c>
      <c r="C73" s="41" t="str">
        <f>'Raw Data'!C68</f>
        <v>Monday</v>
      </c>
      <c r="D73" s="41">
        <f>'Raw Data'!D68</f>
        <v>0</v>
      </c>
      <c r="E73" s="41">
        <f>'Raw Data'!E68</f>
        <v>1</v>
      </c>
      <c r="F73" s="41">
        <f>'Raw Data'!F68</f>
        <v>0</v>
      </c>
      <c r="G73" s="42">
        <f>'Raw Data'!G68</f>
        <v>3349</v>
      </c>
      <c r="H73" s="43">
        <f t="shared" si="8"/>
        <v>3684.1111111111113</v>
      </c>
      <c r="L73" s="66">
        <f t="shared" si="9"/>
        <v>-335.11111111111131</v>
      </c>
      <c r="M73" s="67">
        <f t="shared" si="10"/>
        <v>0.10006303705915537</v>
      </c>
    </row>
    <row r="74" spans="1:13" ht="15" customHeight="1" x14ac:dyDescent="0.3">
      <c r="A74" s="25">
        <f>'Raw Data'!A69</f>
        <v>44536</v>
      </c>
      <c r="B74" s="26">
        <f>'Raw Data'!B69</f>
        <v>2</v>
      </c>
      <c r="C74" s="26" t="str">
        <f>'Raw Data'!C69</f>
        <v>Tuesday</v>
      </c>
      <c r="D74" s="26">
        <f>'Raw Data'!D69</f>
        <v>0</v>
      </c>
      <c r="E74" s="26">
        <f>'Raw Data'!E69</f>
        <v>0</v>
      </c>
      <c r="F74" s="26">
        <f>'Raw Data'!F69</f>
        <v>0</v>
      </c>
      <c r="G74" s="27">
        <f>'Raw Data'!G69</f>
        <v>2394</v>
      </c>
      <c r="H74" s="38">
        <f t="shared" si="8"/>
        <v>2327.75</v>
      </c>
      <c r="L74" s="66">
        <f t="shared" si="9"/>
        <v>66.25</v>
      </c>
      <c r="M74" s="67">
        <f t="shared" si="10"/>
        <v>2.7673350041771093E-2</v>
      </c>
    </row>
    <row r="75" spans="1:13" ht="15" customHeight="1" x14ac:dyDescent="0.3">
      <c r="A75" s="40">
        <f>'Raw Data'!A70</f>
        <v>44537</v>
      </c>
      <c r="B75" s="41">
        <f>'Raw Data'!B70</f>
        <v>3</v>
      </c>
      <c r="C75" s="41" t="str">
        <f>'Raw Data'!C70</f>
        <v>Wednesday</v>
      </c>
      <c r="D75" s="41">
        <f>'Raw Data'!D70</f>
        <v>0</v>
      </c>
      <c r="E75" s="41">
        <f>'Raw Data'!E70</f>
        <v>0</v>
      </c>
      <c r="F75" s="41">
        <f>'Raw Data'!F70</f>
        <v>0</v>
      </c>
      <c r="G75" s="42">
        <f>'Raw Data'!G70</f>
        <v>2567</v>
      </c>
      <c r="H75" s="43">
        <f t="shared" si="8"/>
        <v>2795.5</v>
      </c>
      <c r="L75" s="66">
        <f t="shared" si="9"/>
        <v>-228.5</v>
      </c>
      <c r="M75" s="67">
        <f t="shared" si="10"/>
        <v>8.9014413712504875E-2</v>
      </c>
    </row>
    <row r="76" spans="1:13" ht="15" customHeight="1" x14ac:dyDescent="0.3">
      <c r="A76" s="25">
        <f>'Raw Data'!A71</f>
        <v>44538</v>
      </c>
      <c r="B76" s="26">
        <f>'Raw Data'!B71</f>
        <v>4</v>
      </c>
      <c r="C76" s="26" t="str">
        <f>'Raw Data'!C71</f>
        <v>Thursday</v>
      </c>
      <c r="D76" s="26">
        <f>'Raw Data'!D71</f>
        <v>0</v>
      </c>
      <c r="E76" s="26">
        <f>'Raw Data'!E71</f>
        <v>0</v>
      </c>
      <c r="F76" s="26">
        <f>'Raw Data'!F71</f>
        <v>0</v>
      </c>
      <c r="G76" s="27">
        <f>'Raw Data'!G71</f>
        <v>2789</v>
      </c>
      <c r="H76" s="38">
        <f t="shared" si="8"/>
        <v>2911.375</v>
      </c>
      <c r="L76" s="66">
        <f t="shared" si="9"/>
        <v>-122.375</v>
      </c>
      <c r="M76" s="67">
        <f t="shared" si="10"/>
        <v>4.3877733954822515E-2</v>
      </c>
    </row>
    <row r="77" spans="1:13" ht="15" customHeight="1" x14ac:dyDescent="0.3">
      <c r="A77" s="40">
        <f>'Raw Data'!A72</f>
        <v>44539</v>
      </c>
      <c r="B77" s="41">
        <f>'Raw Data'!B72</f>
        <v>5</v>
      </c>
      <c r="C77" s="41" t="str">
        <f>'Raw Data'!C72</f>
        <v>Friday</v>
      </c>
      <c r="D77" s="41">
        <f>'Raw Data'!D72</f>
        <v>0</v>
      </c>
      <c r="E77" s="41">
        <f>'Raw Data'!E72</f>
        <v>0</v>
      </c>
      <c r="F77" s="41">
        <f>'Raw Data'!F72</f>
        <v>0</v>
      </c>
      <c r="G77" s="42">
        <f>'Raw Data'!G72</f>
        <v>2349</v>
      </c>
      <c r="H77" s="43">
        <f t="shared" si="8"/>
        <v>2723.75</v>
      </c>
      <c r="L77" s="66">
        <f t="shared" si="9"/>
        <v>-374.75</v>
      </c>
      <c r="M77" s="67">
        <f t="shared" si="10"/>
        <v>0.15953597275436357</v>
      </c>
    </row>
    <row r="78" spans="1:13" ht="15" customHeight="1" x14ac:dyDescent="0.3">
      <c r="A78" s="25">
        <f>'Raw Data'!A73</f>
        <v>44540</v>
      </c>
      <c r="B78" s="26">
        <f>'Raw Data'!B73</f>
        <v>6</v>
      </c>
      <c r="C78" s="26" t="str">
        <f>'Raw Data'!C73</f>
        <v>Saturday</v>
      </c>
      <c r="D78" s="26">
        <f>'Raw Data'!D73</f>
        <v>0</v>
      </c>
      <c r="E78" s="26">
        <f>'Raw Data'!E73</f>
        <v>0</v>
      </c>
      <c r="F78" s="26">
        <f>'Raw Data'!F73</f>
        <v>0</v>
      </c>
      <c r="G78" s="27">
        <f>'Raw Data'!G73</f>
        <v>3199</v>
      </c>
      <c r="H78" s="38">
        <f t="shared" si="8"/>
        <v>2428.2222222222222</v>
      </c>
      <c r="L78" s="66">
        <f t="shared" si="9"/>
        <v>770.77777777777783</v>
      </c>
      <c r="M78" s="67">
        <f t="shared" si="10"/>
        <v>0.24094335035254075</v>
      </c>
    </row>
    <row r="79" spans="1:13" ht="15" customHeight="1" x14ac:dyDescent="0.3">
      <c r="A79" s="40">
        <f>'Raw Data'!A74</f>
        <v>44541</v>
      </c>
      <c r="B79" s="41">
        <f>'Raw Data'!B74</f>
        <v>7</v>
      </c>
      <c r="C79" s="41" t="str">
        <f>'Raw Data'!C74</f>
        <v>Sunday</v>
      </c>
      <c r="D79" s="41">
        <f>'Raw Data'!D74</f>
        <v>0</v>
      </c>
      <c r="E79" s="41">
        <f>'Raw Data'!E74</f>
        <v>1</v>
      </c>
      <c r="F79" s="41">
        <f>'Raw Data'!F74</f>
        <v>0</v>
      </c>
      <c r="G79" s="42">
        <f>'Raw Data'!G74</f>
        <v>3298</v>
      </c>
      <c r="H79" s="43">
        <f t="shared" si="8"/>
        <v>3670</v>
      </c>
      <c r="L79" s="66">
        <f t="shared" si="9"/>
        <v>-372</v>
      </c>
      <c r="M79" s="67">
        <f t="shared" si="10"/>
        <v>0.11279563371740449</v>
      </c>
    </row>
    <row r="80" spans="1:13" ht="15" customHeight="1" x14ac:dyDescent="0.3">
      <c r="A80" s="25">
        <f>'Raw Data'!A75</f>
        <v>44542</v>
      </c>
      <c r="B80" s="26">
        <f>'Raw Data'!B75</f>
        <v>1</v>
      </c>
      <c r="C80" s="26" t="str">
        <f>'Raw Data'!C75</f>
        <v>Monday</v>
      </c>
      <c r="D80" s="26">
        <f>'Raw Data'!D75</f>
        <v>0</v>
      </c>
      <c r="E80" s="26">
        <f>'Raw Data'!E75</f>
        <v>1</v>
      </c>
      <c r="F80" s="26">
        <f>'Raw Data'!F75</f>
        <v>0</v>
      </c>
      <c r="G80" s="27">
        <f>'Raw Data'!G75</f>
        <v>3879</v>
      </c>
      <c r="H80" s="38">
        <f t="shared" si="8"/>
        <v>3684.1111111111113</v>
      </c>
      <c r="L80" s="66">
        <f t="shared" si="9"/>
        <v>194.88888888888869</v>
      </c>
      <c r="M80" s="67">
        <f t="shared" si="10"/>
        <v>5.0242044054882362E-2</v>
      </c>
    </row>
    <row r="81" spans="1:13" ht="15" customHeight="1" x14ac:dyDescent="0.3">
      <c r="A81" s="40">
        <f>'Raw Data'!A76</f>
        <v>44543</v>
      </c>
      <c r="B81" s="41">
        <f>'Raw Data'!B76</f>
        <v>2</v>
      </c>
      <c r="C81" s="41" t="str">
        <f>'Raw Data'!C76</f>
        <v>Tuesday</v>
      </c>
      <c r="D81" s="41">
        <f>'Raw Data'!D76</f>
        <v>0</v>
      </c>
      <c r="E81" s="41">
        <f>'Raw Data'!E76</f>
        <v>0</v>
      </c>
      <c r="F81" s="41">
        <f>'Raw Data'!F76</f>
        <v>0</v>
      </c>
      <c r="G81" s="42">
        <f>'Raw Data'!G76</f>
        <v>2394</v>
      </c>
      <c r="H81" s="43">
        <f t="shared" si="8"/>
        <v>2327.75</v>
      </c>
      <c r="L81" s="66">
        <f t="shared" si="9"/>
        <v>66.25</v>
      </c>
      <c r="M81" s="67">
        <f t="shared" si="10"/>
        <v>2.7673350041771093E-2</v>
      </c>
    </row>
    <row r="82" spans="1:13" ht="15" customHeight="1" x14ac:dyDescent="0.3">
      <c r="A82" s="25">
        <f>'Raw Data'!A77</f>
        <v>44544</v>
      </c>
      <c r="B82" s="26">
        <f>'Raw Data'!B77</f>
        <v>3</v>
      </c>
      <c r="C82" s="26" t="str">
        <f>'Raw Data'!C77</f>
        <v>Wednesday</v>
      </c>
      <c r="D82" s="26">
        <f>'Raw Data'!D77</f>
        <v>0</v>
      </c>
      <c r="E82" s="26">
        <f>'Raw Data'!E77</f>
        <v>0</v>
      </c>
      <c r="F82" s="26">
        <f>'Raw Data'!F77</f>
        <v>0</v>
      </c>
      <c r="G82" s="27" t="str">
        <f>'Raw Data'!G77</f>
        <v>—</v>
      </c>
      <c r="H82" s="38">
        <f t="shared" si="8"/>
        <v>2795.5</v>
      </c>
      <c r="L82" s="66" t="s">
        <v>15</v>
      </c>
      <c r="M82" s="67" t="s">
        <v>15</v>
      </c>
    </row>
    <row r="84" spans="1:13" ht="15.75" customHeight="1" x14ac:dyDescent="0.3">
      <c r="A84" s="9" t="s">
        <v>39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45"/>
      <c r="M84" s="46">
        <f>AVERAGE(M68:M81)</f>
        <v>0.12425565647958044</v>
      </c>
    </row>
    <row r="86" spans="1:13" ht="15" customHeight="1" x14ac:dyDescent="0.3">
      <c r="A86" s="8" t="s">
        <v>40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</row>
    <row r="87" spans="1:13" ht="15" customHeight="1" x14ac:dyDescent="0.3">
      <c r="A87" s="28">
        <f>'Raw Data'!A78</f>
        <v>44545</v>
      </c>
      <c r="B87" s="29">
        <f>'Raw Data'!B78</f>
        <v>4</v>
      </c>
      <c r="C87" s="29" t="str">
        <f>'Raw Data'!C78</f>
        <v>Thursday</v>
      </c>
      <c r="D87" s="29">
        <f>'Raw Data'!D78</f>
        <v>0</v>
      </c>
      <c r="E87" s="29">
        <f>'Raw Data'!E78</f>
        <v>0</v>
      </c>
      <c r="F87" s="29">
        <f>'Raw Data'!F78</f>
        <v>0</v>
      </c>
      <c r="G87" s="29" t="s">
        <v>15</v>
      </c>
      <c r="H87" s="68">
        <f t="shared" ref="H87:H97" si="11">VLOOKUP(B87,$N$5:$P$11,3,FALSE())</f>
        <v>2911.375</v>
      </c>
      <c r="L87" s="29" t="s">
        <v>15</v>
      </c>
      <c r="M87" s="29" t="s">
        <v>15</v>
      </c>
    </row>
    <row r="88" spans="1:13" ht="15" customHeight="1" x14ac:dyDescent="0.3">
      <c r="A88" s="69">
        <f>'Raw Data'!A79</f>
        <v>44546</v>
      </c>
      <c r="B88" s="70">
        <f>'Raw Data'!B79</f>
        <v>5</v>
      </c>
      <c r="C88" s="70" t="str">
        <f>'Raw Data'!C79</f>
        <v>Friday</v>
      </c>
      <c r="D88" s="70">
        <f>'Raw Data'!D79</f>
        <v>0</v>
      </c>
      <c r="E88" s="70">
        <f>'Raw Data'!E79</f>
        <v>0</v>
      </c>
      <c r="F88" s="70">
        <f>'Raw Data'!F79</f>
        <v>0</v>
      </c>
      <c r="G88" s="70" t="s">
        <v>15</v>
      </c>
      <c r="H88" s="68">
        <f t="shared" si="11"/>
        <v>2723.75</v>
      </c>
      <c r="L88" s="70" t="s">
        <v>15</v>
      </c>
      <c r="M88" s="70" t="s">
        <v>15</v>
      </c>
    </row>
    <row r="89" spans="1:13" ht="15" customHeight="1" x14ac:dyDescent="0.3">
      <c r="A89" s="28">
        <f>'Raw Data'!A80</f>
        <v>44547</v>
      </c>
      <c r="B89" s="29">
        <f>'Raw Data'!B80</f>
        <v>6</v>
      </c>
      <c r="C89" s="29" t="str">
        <f>'Raw Data'!C80</f>
        <v>Saturday</v>
      </c>
      <c r="D89" s="29">
        <f>'Raw Data'!D80</f>
        <v>0</v>
      </c>
      <c r="E89" s="29">
        <f>'Raw Data'!E80</f>
        <v>0</v>
      </c>
      <c r="F89" s="29">
        <f>'Raw Data'!F80</f>
        <v>0</v>
      </c>
      <c r="G89" s="29" t="s">
        <v>15</v>
      </c>
      <c r="H89" s="68">
        <f t="shared" si="11"/>
        <v>2428.2222222222222</v>
      </c>
      <c r="L89" s="29" t="s">
        <v>15</v>
      </c>
      <c r="M89" s="29" t="s">
        <v>15</v>
      </c>
    </row>
    <row r="90" spans="1:13" ht="15" customHeight="1" x14ac:dyDescent="0.3">
      <c r="A90" s="69">
        <f>'Raw Data'!A81</f>
        <v>44548</v>
      </c>
      <c r="B90" s="70">
        <f>'Raw Data'!B81</f>
        <v>7</v>
      </c>
      <c r="C90" s="70" t="str">
        <f>'Raw Data'!C81</f>
        <v>Sunday</v>
      </c>
      <c r="D90" s="70">
        <f>'Raw Data'!D81</f>
        <v>1</v>
      </c>
      <c r="E90" s="70">
        <f>'Raw Data'!E81</f>
        <v>1</v>
      </c>
      <c r="F90" s="70">
        <f>'Raw Data'!F81</f>
        <v>0</v>
      </c>
      <c r="G90" s="70" t="s">
        <v>15</v>
      </c>
      <c r="H90" s="68">
        <f t="shared" si="11"/>
        <v>3670</v>
      </c>
      <c r="L90" s="70" t="s">
        <v>15</v>
      </c>
      <c r="M90" s="70" t="s">
        <v>15</v>
      </c>
    </row>
    <row r="91" spans="1:13" ht="15" customHeight="1" x14ac:dyDescent="0.3">
      <c r="A91" s="28">
        <f>'Raw Data'!A82</f>
        <v>44549</v>
      </c>
      <c r="B91" s="29">
        <f>'Raw Data'!B82</f>
        <v>1</v>
      </c>
      <c r="C91" s="29" t="str">
        <f>'Raw Data'!C82</f>
        <v>Monday</v>
      </c>
      <c r="D91" s="29">
        <f>'Raw Data'!D82</f>
        <v>1</v>
      </c>
      <c r="E91" s="29">
        <f>'Raw Data'!E82</f>
        <v>1</v>
      </c>
      <c r="F91" s="29">
        <f>'Raw Data'!F82</f>
        <v>0</v>
      </c>
      <c r="G91" s="29" t="s">
        <v>15</v>
      </c>
      <c r="H91" s="68">
        <f t="shared" si="11"/>
        <v>3684.1111111111113</v>
      </c>
      <c r="L91" s="29" t="s">
        <v>15</v>
      </c>
      <c r="M91" s="29" t="s">
        <v>15</v>
      </c>
    </row>
    <row r="92" spans="1:13" ht="15" customHeight="1" x14ac:dyDescent="0.3">
      <c r="A92" s="69">
        <f>'Raw Data'!A83</f>
        <v>44550</v>
      </c>
      <c r="B92" s="70">
        <f>'Raw Data'!B83</f>
        <v>2</v>
      </c>
      <c r="C92" s="70" t="str">
        <f>'Raw Data'!C83</f>
        <v>Tuesday</v>
      </c>
      <c r="D92" s="70">
        <f>'Raw Data'!D83</f>
        <v>1</v>
      </c>
      <c r="E92" s="70">
        <f>'Raw Data'!E83</f>
        <v>0</v>
      </c>
      <c r="F92" s="70">
        <f>'Raw Data'!F83</f>
        <v>0</v>
      </c>
      <c r="G92" s="70" t="s">
        <v>15</v>
      </c>
      <c r="H92" s="68">
        <f t="shared" si="11"/>
        <v>2327.75</v>
      </c>
      <c r="L92" s="70" t="s">
        <v>15</v>
      </c>
      <c r="M92" s="70" t="s">
        <v>15</v>
      </c>
    </row>
    <row r="93" spans="1:13" ht="15" customHeight="1" x14ac:dyDescent="0.3">
      <c r="A93" s="28">
        <f>'Raw Data'!A84</f>
        <v>44551</v>
      </c>
      <c r="B93" s="29">
        <f>'Raw Data'!B84</f>
        <v>3</v>
      </c>
      <c r="C93" s="29" t="str">
        <f>'Raw Data'!C84</f>
        <v>Wednesday</v>
      </c>
      <c r="D93" s="29">
        <f>'Raw Data'!D84</f>
        <v>1</v>
      </c>
      <c r="E93" s="29">
        <f>'Raw Data'!E84</f>
        <v>0</v>
      </c>
      <c r="F93" s="29">
        <f>'Raw Data'!F84</f>
        <v>1</v>
      </c>
      <c r="G93" s="29" t="s">
        <v>15</v>
      </c>
      <c r="H93" s="68">
        <f t="shared" si="11"/>
        <v>2795.5</v>
      </c>
      <c r="L93" s="29" t="s">
        <v>15</v>
      </c>
      <c r="M93" s="29" t="s">
        <v>15</v>
      </c>
    </row>
    <row r="94" spans="1:13" ht="15" customHeight="1" x14ac:dyDescent="0.3">
      <c r="A94" s="69">
        <f>'Raw Data'!A85</f>
        <v>44552</v>
      </c>
      <c r="B94" s="70">
        <f>'Raw Data'!B85</f>
        <v>4</v>
      </c>
      <c r="C94" s="70" t="str">
        <f>'Raw Data'!C85</f>
        <v>Thursday</v>
      </c>
      <c r="D94" s="70">
        <f>'Raw Data'!D85</f>
        <v>1</v>
      </c>
      <c r="E94" s="70">
        <f>'Raw Data'!E85</f>
        <v>0</v>
      </c>
      <c r="F94" s="70">
        <f>'Raw Data'!F85</f>
        <v>0</v>
      </c>
      <c r="G94" s="70" t="s">
        <v>15</v>
      </c>
      <c r="H94" s="68">
        <f t="shared" si="11"/>
        <v>2911.375</v>
      </c>
      <c r="L94" s="70" t="s">
        <v>15</v>
      </c>
      <c r="M94" s="70" t="s">
        <v>15</v>
      </c>
    </row>
    <row r="95" spans="1:13" ht="15" customHeight="1" x14ac:dyDescent="0.3">
      <c r="A95" s="28">
        <f>'Raw Data'!A86</f>
        <v>44553</v>
      </c>
      <c r="B95" s="29">
        <f>'Raw Data'!B86</f>
        <v>5</v>
      </c>
      <c r="C95" s="29" t="str">
        <f>'Raw Data'!C86</f>
        <v>Friday</v>
      </c>
      <c r="D95" s="29">
        <f>'Raw Data'!D86</f>
        <v>1</v>
      </c>
      <c r="E95" s="29">
        <f>'Raw Data'!E86</f>
        <v>0</v>
      </c>
      <c r="F95" s="29">
        <f>'Raw Data'!F86</f>
        <v>0</v>
      </c>
      <c r="G95" s="29" t="s">
        <v>15</v>
      </c>
      <c r="H95" s="68">
        <f t="shared" si="11"/>
        <v>2723.75</v>
      </c>
      <c r="L95" s="29" t="s">
        <v>15</v>
      </c>
      <c r="M95" s="29" t="s">
        <v>15</v>
      </c>
    </row>
    <row r="96" spans="1:13" ht="15" customHeight="1" x14ac:dyDescent="0.3">
      <c r="A96" s="69">
        <f>'Raw Data'!A87</f>
        <v>44554</v>
      </c>
      <c r="B96" s="70">
        <f>'Raw Data'!B87</f>
        <v>6</v>
      </c>
      <c r="C96" s="70" t="str">
        <f>'Raw Data'!C87</f>
        <v>Saturday</v>
      </c>
      <c r="D96" s="70">
        <f>'Raw Data'!D87</f>
        <v>1</v>
      </c>
      <c r="E96" s="70">
        <f>'Raw Data'!E87</f>
        <v>0</v>
      </c>
      <c r="F96" s="70">
        <f>'Raw Data'!F87</f>
        <v>0</v>
      </c>
      <c r="G96" s="70" t="s">
        <v>15</v>
      </c>
      <c r="H96" s="68">
        <f t="shared" si="11"/>
        <v>2428.2222222222222</v>
      </c>
      <c r="L96" s="70" t="s">
        <v>15</v>
      </c>
      <c r="M96" s="70" t="s">
        <v>15</v>
      </c>
    </row>
    <row r="97" spans="1:13" ht="15" customHeight="1" x14ac:dyDescent="0.3">
      <c r="A97" s="28">
        <f>'Raw Data'!A88</f>
        <v>44555</v>
      </c>
      <c r="B97" s="29">
        <f>'Raw Data'!B88</f>
        <v>7</v>
      </c>
      <c r="C97" s="29" t="str">
        <f>'Raw Data'!C88</f>
        <v>Sunday</v>
      </c>
      <c r="D97" s="29">
        <f>'Raw Data'!D88</f>
        <v>1</v>
      </c>
      <c r="E97" s="29">
        <f>'Raw Data'!E88</f>
        <v>1</v>
      </c>
      <c r="F97" s="29">
        <f>'Raw Data'!F88</f>
        <v>0</v>
      </c>
      <c r="G97" s="29" t="s">
        <v>15</v>
      </c>
      <c r="H97" s="68">
        <f t="shared" si="11"/>
        <v>3670</v>
      </c>
      <c r="L97" s="29" t="s">
        <v>15</v>
      </c>
      <c r="M97" s="29" t="s">
        <v>15</v>
      </c>
    </row>
    <row r="98" spans="1:13" ht="15" customHeight="1" x14ac:dyDescent="0.3">
      <c r="A98" s="69">
        <f>'Raw Data'!A89</f>
        <v>0</v>
      </c>
      <c r="B98" s="70">
        <f>'Raw Data'!B89</f>
        <v>0</v>
      </c>
      <c r="C98" s="70">
        <f>'Raw Data'!C89</f>
        <v>0</v>
      </c>
      <c r="D98" s="70">
        <f>'Raw Data'!D89</f>
        <v>0</v>
      </c>
      <c r="E98" s="70">
        <f>'Raw Data'!E89</f>
        <v>0</v>
      </c>
      <c r="F98" s="70">
        <f>'Raw Data'!F89</f>
        <v>0</v>
      </c>
      <c r="G98" s="70" t="s">
        <v>15</v>
      </c>
      <c r="H98" s="68"/>
      <c r="L98" s="70" t="s">
        <v>15</v>
      </c>
      <c r="M98" s="70" t="s">
        <v>15</v>
      </c>
    </row>
  </sheetData>
  <mergeCells count="7">
    <mergeCell ref="A84:K84"/>
    <mergeCell ref="A86:M86"/>
    <mergeCell ref="A1:K1"/>
    <mergeCell ref="A2:K2"/>
    <mergeCell ref="I3:K3"/>
    <mergeCell ref="A7:K7"/>
    <mergeCell ref="A67:K6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1"/>
  <sheetViews>
    <sheetView showGridLines="0" zoomScaleNormal="100" workbookViewId="0">
      <pane ySplit="7" topLeftCell="A73" activePane="bottomLeft" state="frozen"/>
      <selection pane="bottomLeft" activeCell="L82" sqref="L82"/>
    </sheetView>
  </sheetViews>
  <sheetFormatPr defaultColWidth="8.6640625" defaultRowHeight="14.4" x14ac:dyDescent="0.3"/>
  <cols>
    <col min="1" max="1" width="13" customWidth="1"/>
    <col min="2" max="2" width="7" customWidth="1"/>
    <col min="3" max="3" width="13" customWidth="1"/>
    <col min="4" max="5" width="10" customWidth="1"/>
    <col min="6" max="7" width="12" customWidth="1"/>
    <col min="8" max="8" width="18" customWidth="1"/>
    <col min="9" max="9" width="14" customWidth="1"/>
    <col min="10" max="10" width="16" customWidth="1"/>
    <col min="11" max="11" width="13" customWidth="1"/>
    <col min="12" max="12" width="36" customWidth="1"/>
  </cols>
  <sheetData>
    <row r="1" spans="1:12" ht="25.5" customHeight="1" x14ac:dyDescent="0.3">
      <c r="A1" s="14" t="s">
        <v>41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7.75" customHeight="1" x14ac:dyDescent="0.3">
      <c r="A2" s="13" t="s">
        <v>42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21.75" customHeight="1" x14ac:dyDescent="0.3">
      <c r="A3" s="5" t="s">
        <v>43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ht="27.75" customHeight="1" x14ac:dyDescent="0.3">
      <c r="A4" s="55" t="s">
        <v>44</v>
      </c>
      <c r="B4" s="55" t="s">
        <v>45</v>
      </c>
      <c r="C4" s="55" t="s">
        <v>46</v>
      </c>
      <c r="D4" s="55" t="s">
        <v>47</v>
      </c>
      <c r="E4" s="55" t="s">
        <v>48</v>
      </c>
    </row>
    <row r="5" spans="1:12" ht="15" customHeight="1" x14ac:dyDescent="0.3">
      <c r="A5" s="21" t="s">
        <v>49</v>
      </c>
      <c r="B5" s="71" t="s">
        <v>50</v>
      </c>
      <c r="C5" s="72">
        <f>INDEX(LINEST('Raw Data'!G3:G61,'Raw Data'!D3:F61,TRUE(),FALSE()),1,4)</f>
        <v>2503.8508651469378</v>
      </c>
      <c r="D5" s="21" t="s">
        <v>51</v>
      </c>
      <c r="E5" s="21" t="s">
        <v>52</v>
      </c>
    </row>
    <row r="6" spans="1:12" ht="15" customHeight="1" x14ac:dyDescent="0.3">
      <c r="A6" s="20" t="s">
        <v>53</v>
      </c>
      <c r="B6" s="62" t="s">
        <v>54</v>
      </c>
      <c r="C6" s="72">
        <f>INDEX(LINEST('Raw Data'!G3:G61,'Raw Data'!D3:F61,TRUE(),FALSE()),1,3)</f>
        <v>-413.70365284262624</v>
      </c>
      <c r="D6" s="20" t="s">
        <v>55</v>
      </c>
      <c r="E6" s="20" t="s">
        <v>56</v>
      </c>
    </row>
    <row r="7" spans="1:12" ht="15" customHeight="1" x14ac:dyDescent="0.3">
      <c r="A7" s="21" t="s">
        <v>57</v>
      </c>
      <c r="B7" s="71" t="s">
        <v>58</v>
      </c>
      <c r="C7" s="72">
        <f>INDEX(LINEST('Raw Data'!G3:G61,'Raw Data'!D3:F61,TRUE(),FALSE()),1,2)</f>
        <v>1265.1388354847563</v>
      </c>
      <c r="D7" s="21" t="s">
        <v>59</v>
      </c>
      <c r="E7" s="21" t="s">
        <v>60</v>
      </c>
    </row>
    <row r="8" spans="1:12" ht="15" customHeight="1" x14ac:dyDescent="0.3">
      <c r="A8" s="20" t="s">
        <v>61</v>
      </c>
      <c r="B8" s="62" t="s">
        <v>62</v>
      </c>
      <c r="C8" s="72">
        <f>INDEX(LINEST('Raw Data'!G3:G61,'Raw Data'!D3:F61,TRUE(),FALSE()),1,1)</f>
        <v>3133.3836858006034</v>
      </c>
      <c r="D8" s="20" t="s">
        <v>63</v>
      </c>
      <c r="E8" s="20" t="s">
        <v>64</v>
      </c>
    </row>
    <row r="9" spans="1:12" ht="27.75" customHeight="1" x14ac:dyDescent="0.3">
      <c r="A9" s="15" t="s">
        <v>1</v>
      </c>
      <c r="B9" s="15" t="s">
        <v>2</v>
      </c>
      <c r="C9" s="15" t="s">
        <v>3</v>
      </c>
      <c r="D9" s="15" t="s">
        <v>4</v>
      </c>
      <c r="E9" s="15" t="s">
        <v>5</v>
      </c>
      <c r="F9" s="15" t="s">
        <v>6</v>
      </c>
      <c r="G9" s="15" t="s">
        <v>20</v>
      </c>
      <c r="H9" s="15" t="s">
        <v>65</v>
      </c>
      <c r="I9" s="15" t="s">
        <v>22</v>
      </c>
      <c r="J9" s="15" t="s">
        <v>23</v>
      </c>
      <c r="K9" s="15" t="s">
        <v>66</v>
      </c>
      <c r="L9" s="15" t="s">
        <v>67</v>
      </c>
    </row>
    <row r="10" spans="1:12" ht="15" customHeight="1" x14ac:dyDescent="0.3">
      <c r="A10" s="11" t="s">
        <v>37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</row>
    <row r="11" spans="1:12" ht="15" customHeight="1" x14ac:dyDescent="0.3">
      <c r="A11" s="16">
        <f>'Raw Data'!A4</f>
        <v>44471</v>
      </c>
      <c r="B11" s="17">
        <f>'Raw Data'!B4</f>
        <v>7</v>
      </c>
      <c r="C11" s="17" t="str">
        <f>'Raw Data'!C4</f>
        <v>Sunday</v>
      </c>
      <c r="D11" s="17">
        <f>'Raw Data'!D4</f>
        <v>0</v>
      </c>
      <c r="E11" s="17">
        <f>'Raw Data'!E4</f>
        <v>1</v>
      </c>
      <c r="F11" s="17">
        <f>'Raw Data'!F4</f>
        <v>0</v>
      </c>
      <c r="G11" s="18">
        <f>'Raw Data'!G3</f>
        <v>2042</v>
      </c>
      <c r="H11" s="34">
        <f t="shared" ref="H11:H42" si="0">$C$5+$C$6*D11+$C$7*E11+$C$8*F11</f>
        <v>3768.9897006316942</v>
      </c>
      <c r="I11" s="18">
        <f t="shared" ref="I11:I39" si="1">G11-H11</f>
        <v>-1726.9897006316942</v>
      </c>
      <c r="J11" s="35">
        <f t="shared" ref="J11:J39" si="2">ABS((G11-H11)/G11)</f>
        <v>0.84573442734167192</v>
      </c>
      <c r="K11" s="17" t="s">
        <v>68</v>
      </c>
      <c r="L11" s="73"/>
    </row>
    <row r="12" spans="1:12" ht="15" customHeight="1" x14ac:dyDescent="0.3">
      <c r="A12" s="19">
        <f>'Raw Data'!A5</f>
        <v>44472</v>
      </c>
      <c r="B12" s="20">
        <f>'Raw Data'!B5</f>
        <v>1</v>
      </c>
      <c r="C12" s="20" t="str">
        <f>'Raw Data'!C5</f>
        <v>Monday</v>
      </c>
      <c r="D12" s="20">
        <f>'Raw Data'!D5</f>
        <v>0</v>
      </c>
      <c r="E12" s="20">
        <f>'Raw Data'!E5</f>
        <v>1</v>
      </c>
      <c r="F12" s="20">
        <f>'Raw Data'!F5</f>
        <v>0</v>
      </c>
      <c r="G12" s="22">
        <f>'Raw Data'!G5</f>
        <v>4289</v>
      </c>
      <c r="H12" s="36">
        <f t="shared" si="0"/>
        <v>3768.9897006316942</v>
      </c>
      <c r="I12" s="22">
        <f t="shared" si="1"/>
        <v>520.01029936830582</v>
      </c>
      <c r="J12" s="37">
        <f t="shared" si="2"/>
        <v>0.12124278371842057</v>
      </c>
      <c r="K12" s="20" t="s">
        <v>68</v>
      </c>
      <c r="L12" s="73"/>
    </row>
    <row r="13" spans="1:12" ht="15" customHeight="1" x14ac:dyDescent="0.3">
      <c r="A13" s="16">
        <f>'Raw Data'!A6</f>
        <v>44473</v>
      </c>
      <c r="B13" s="17">
        <f>'Raw Data'!B6</f>
        <v>2</v>
      </c>
      <c r="C13" s="17" t="str">
        <f>'Raw Data'!C6</f>
        <v>Tuesday</v>
      </c>
      <c r="D13" s="17">
        <f>'Raw Data'!D6</f>
        <v>0</v>
      </c>
      <c r="E13" s="17">
        <f>'Raw Data'!E6</f>
        <v>0</v>
      </c>
      <c r="F13" s="17">
        <f>'Raw Data'!F6</f>
        <v>0</v>
      </c>
      <c r="G13" s="18">
        <f>'Raw Data'!G6</f>
        <v>2454</v>
      </c>
      <c r="H13" s="34">
        <f t="shared" si="0"/>
        <v>2503.8508651469378</v>
      </c>
      <c r="I13" s="18">
        <f t="shared" si="1"/>
        <v>-49.850865146937849</v>
      </c>
      <c r="J13" s="35">
        <f t="shared" si="2"/>
        <v>2.031412597674729E-2</v>
      </c>
      <c r="K13" s="17" t="s">
        <v>68</v>
      </c>
      <c r="L13" s="73"/>
    </row>
    <row r="14" spans="1:12" ht="15" customHeight="1" x14ac:dyDescent="0.3">
      <c r="A14" s="19">
        <f>'Raw Data'!A7</f>
        <v>44474</v>
      </c>
      <c r="B14" s="20">
        <f>'Raw Data'!B7</f>
        <v>3</v>
      </c>
      <c r="C14" s="20" t="str">
        <f>'Raw Data'!C7</f>
        <v>Wednesday</v>
      </c>
      <c r="D14" s="20">
        <f>'Raw Data'!D7</f>
        <v>0</v>
      </c>
      <c r="E14" s="20">
        <f>'Raw Data'!E7</f>
        <v>0</v>
      </c>
      <c r="F14" s="20">
        <f>'Raw Data'!F7</f>
        <v>0</v>
      </c>
      <c r="G14" s="22">
        <f>'Raw Data'!G7</f>
        <v>2544</v>
      </c>
      <c r="H14" s="36">
        <f t="shared" si="0"/>
        <v>2503.8508651469378</v>
      </c>
      <c r="I14" s="22">
        <f t="shared" si="1"/>
        <v>40.149134853062151</v>
      </c>
      <c r="J14" s="37">
        <f t="shared" si="2"/>
        <v>1.5781892630920658E-2</v>
      </c>
      <c r="K14" s="20" t="s">
        <v>68</v>
      </c>
      <c r="L14" s="73"/>
    </row>
    <row r="15" spans="1:12" ht="15" customHeight="1" x14ac:dyDescent="0.3">
      <c r="A15" s="16">
        <f>'Raw Data'!A8</f>
        <v>44475</v>
      </c>
      <c r="B15" s="17">
        <f>'Raw Data'!B8</f>
        <v>4</v>
      </c>
      <c r="C15" s="17" t="str">
        <f>'Raw Data'!C8</f>
        <v>Thursday</v>
      </c>
      <c r="D15" s="17">
        <f>'Raw Data'!D8</f>
        <v>0</v>
      </c>
      <c r="E15" s="17">
        <f>'Raw Data'!E8</f>
        <v>0</v>
      </c>
      <c r="F15" s="17">
        <f>'Raw Data'!F8</f>
        <v>0</v>
      </c>
      <c r="G15" s="18">
        <f>'Raw Data'!G8</f>
        <v>2686</v>
      </c>
      <c r="H15" s="34">
        <f t="shared" si="0"/>
        <v>2503.8508651469378</v>
      </c>
      <c r="I15" s="18">
        <f t="shared" si="1"/>
        <v>182.14913485306215</v>
      </c>
      <c r="J15" s="35">
        <f t="shared" si="2"/>
        <v>6.7814272097193651E-2</v>
      </c>
      <c r="K15" s="17" t="s">
        <v>68</v>
      </c>
      <c r="L15" s="73"/>
    </row>
    <row r="16" spans="1:12" ht="15" customHeight="1" x14ac:dyDescent="0.3">
      <c r="A16" s="19">
        <f>'Raw Data'!A9</f>
        <v>44476</v>
      </c>
      <c r="B16" s="20">
        <f>'Raw Data'!B9</f>
        <v>5</v>
      </c>
      <c r="C16" s="20" t="str">
        <f>'Raw Data'!C9</f>
        <v>Friday</v>
      </c>
      <c r="D16" s="20">
        <f>'Raw Data'!D9</f>
        <v>0</v>
      </c>
      <c r="E16" s="20">
        <f>'Raw Data'!E9</f>
        <v>0</v>
      </c>
      <c r="F16" s="20">
        <f>'Raw Data'!F9</f>
        <v>0</v>
      </c>
      <c r="G16" s="22">
        <f>'Raw Data'!G9</f>
        <v>2792</v>
      </c>
      <c r="H16" s="36">
        <f t="shared" si="0"/>
        <v>2503.8508651469378</v>
      </c>
      <c r="I16" s="22">
        <f t="shared" si="1"/>
        <v>288.14913485306215</v>
      </c>
      <c r="J16" s="37">
        <f t="shared" si="2"/>
        <v>0.1032052775261684</v>
      </c>
      <c r="K16" s="20" t="s">
        <v>68</v>
      </c>
      <c r="L16" s="73"/>
    </row>
    <row r="17" spans="1:12" ht="15" customHeight="1" x14ac:dyDescent="0.3">
      <c r="A17" s="16">
        <f>'Raw Data'!A10</f>
        <v>44477</v>
      </c>
      <c r="B17" s="17">
        <f>'Raw Data'!B10</f>
        <v>6</v>
      </c>
      <c r="C17" s="17" t="str">
        <f>'Raw Data'!C10</f>
        <v>Saturday</v>
      </c>
      <c r="D17" s="17">
        <f>'Raw Data'!D10</f>
        <v>0</v>
      </c>
      <c r="E17" s="17">
        <f>'Raw Data'!E10</f>
        <v>0</v>
      </c>
      <c r="F17" s="17">
        <f>'Raw Data'!F10</f>
        <v>0</v>
      </c>
      <c r="G17" s="18">
        <f>'Raw Data'!G10</f>
        <v>2246</v>
      </c>
      <c r="H17" s="34">
        <f t="shared" si="0"/>
        <v>2503.8508651469378</v>
      </c>
      <c r="I17" s="18">
        <f t="shared" si="1"/>
        <v>-257.85086514693785</v>
      </c>
      <c r="J17" s="35">
        <f t="shared" si="2"/>
        <v>0.11480448136551107</v>
      </c>
      <c r="K17" s="17" t="s">
        <v>68</v>
      </c>
      <c r="L17" s="73"/>
    </row>
    <row r="18" spans="1:12" ht="15" customHeight="1" x14ac:dyDescent="0.3">
      <c r="A18" s="19">
        <f>'Raw Data'!A11</f>
        <v>44478</v>
      </c>
      <c r="B18" s="20">
        <f>'Raw Data'!B11</f>
        <v>7</v>
      </c>
      <c r="C18" s="20" t="str">
        <f>'Raw Data'!C11</f>
        <v>Sunday</v>
      </c>
      <c r="D18" s="20">
        <f>'Raw Data'!D11</f>
        <v>0</v>
      </c>
      <c r="E18" s="20">
        <f>'Raw Data'!E11</f>
        <v>1</v>
      </c>
      <c r="F18" s="20">
        <f>'Raw Data'!F11</f>
        <v>0</v>
      </c>
      <c r="G18" s="22">
        <f>'Raw Data'!G11</f>
        <v>4078</v>
      </c>
      <c r="H18" s="36">
        <f t="shared" si="0"/>
        <v>3768.9897006316942</v>
      </c>
      <c r="I18" s="22">
        <f t="shared" si="1"/>
        <v>309.01029936830582</v>
      </c>
      <c r="J18" s="37">
        <f t="shared" si="2"/>
        <v>7.5774963062360423E-2</v>
      </c>
      <c r="K18" s="20" t="s">
        <v>68</v>
      </c>
      <c r="L18" s="73"/>
    </row>
    <row r="19" spans="1:12" ht="15" customHeight="1" x14ac:dyDescent="0.3">
      <c r="A19" s="16">
        <f>'Raw Data'!A12</f>
        <v>44479</v>
      </c>
      <c r="B19" s="17">
        <f>'Raw Data'!B12</f>
        <v>1</v>
      </c>
      <c r="C19" s="17" t="str">
        <f>'Raw Data'!C12</f>
        <v>Monday</v>
      </c>
      <c r="D19" s="17">
        <f>'Raw Data'!D12</f>
        <v>0</v>
      </c>
      <c r="E19" s="17">
        <f>'Raw Data'!E12</f>
        <v>1</v>
      </c>
      <c r="F19" s="17">
        <f>'Raw Data'!F12</f>
        <v>0</v>
      </c>
      <c r="G19" s="18">
        <f>'Raw Data'!G12</f>
        <v>3949</v>
      </c>
      <c r="H19" s="34">
        <f t="shared" si="0"/>
        <v>3768.9897006316942</v>
      </c>
      <c r="I19" s="18">
        <f t="shared" si="1"/>
        <v>180.01029936830582</v>
      </c>
      <c r="J19" s="35">
        <f t="shared" si="2"/>
        <v>4.558376788257934E-2</v>
      </c>
      <c r="K19" s="17" t="s">
        <v>68</v>
      </c>
      <c r="L19" s="73"/>
    </row>
    <row r="20" spans="1:12" ht="15" customHeight="1" x14ac:dyDescent="0.3">
      <c r="A20" s="19">
        <f>'Raw Data'!A13</f>
        <v>44480</v>
      </c>
      <c r="B20" s="20">
        <f>'Raw Data'!B13</f>
        <v>2</v>
      </c>
      <c r="C20" s="20" t="str">
        <f>'Raw Data'!C13</f>
        <v>Tuesday</v>
      </c>
      <c r="D20" s="20">
        <f>'Raw Data'!D13</f>
        <v>0</v>
      </c>
      <c r="E20" s="20">
        <f>'Raw Data'!E13</f>
        <v>0</v>
      </c>
      <c r="F20" s="20">
        <f>'Raw Data'!F13</f>
        <v>0</v>
      </c>
      <c r="G20" s="22">
        <f>'Raw Data'!G13</f>
        <v>2687</v>
      </c>
      <c r="H20" s="36">
        <f t="shared" si="0"/>
        <v>2503.8508651469378</v>
      </c>
      <c r="I20" s="22">
        <f t="shared" si="1"/>
        <v>183.14913485306215</v>
      </c>
      <c r="J20" s="37">
        <f t="shared" si="2"/>
        <v>6.8161196446990008E-2</v>
      </c>
      <c r="K20" s="20" t="s">
        <v>68</v>
      </c>
      <c r="L20" s="73"/>
    </row>
    <row r="21" spans="1:12" ht="15" customHeight="1" x14ac:dyDescent="0.3">
      <c r="A21" s="16">
        <f>'Raw Data'!A14</f>
        <v>44481</v>
      </c>
      <c r="B21" s="17">
        <f>'Raw Data'!B14</f>
        <v>3</v>
      </c>
      <c r="C21" s="17" t="str">
        <f>'Raw Data'!C14</f>
        <v>Wednesday</v>
      </c>
      <c r="D21" s="17">
        <f>'Raw Data'!D14</f>
        <v>0</v>
      </c>
      <c r="E21" s="17">
        <f>'Raw Data'!E14</f>
        <v>0</v>
      </c>
      <c r="F21" s="17">
        <f>'Raw Data'!F14</f>
        <v>0</v>
      </c>
      <c r="G21" s="18">
        <f>'Raw Data'!G14</f>
        <v>2737</v>
      </c>
      <c r="H21" s="34">
        <f t="shared" si="0"/>
        <v>2503.8508651469378</v>
      </c>
      <c r="I21" s="18">
        <f t="shared" si="1"/>
        <v>233.14913485306215</v>
      </c>
      <c r="J21" s="35">
        <f t="shared" si="2"/>
        <v>8.5184192492898117E-2</v>
      </c>
      <c r="K21" s="17" t="s">
        <v>68</v>
      </c>
      <c r="L21" s="73"/>
    </row>
    <row r="22" spans="1:12" ht="15" customHeight="1" x14ac:dyDescent="0.3">
      <c r="A22" s="19">
        <f>'Raw Data'!A15</f>
        <v>44482</v>
      </c>
      <c r="B22" s="20">
        <f>'Raw Data'!B15</f>
        <v>4</v>
      </c>
      <c r="C22" s="20" t="str">
        <f>'Raw Data'!C15</f>
        <v>Thursday</v>
      </c>
      <c r="D22" s="20">
        <f>'Raw Data'!D15</f>
        <v>0</v>
      </c>
      <c r="E22" s="20">
        <f>'Raw Data'!E15</f>
        <v>0</v>
      </c>
      <c r="F22" s="20">
        <f>'Raw Data'!F15</f>
        <v>1</v>
      </c>
      <c r="G22" s="22">
        <f>'Raw Data'!G15</f>
        <v>5817</v>
      </c>
      <c r="H22" s="36">
        <f t="shared" si="0"/>
        <v>5637.2345509475417</v>
      </c>
      <c r="I22" s="22">
        <f t="shared" si="1"/>
        <v>179.76544905245828</v>
      </c>
      <c r="J22" s="37">
        <f t="shared" si="2"/>
        <v>3.0903463821980108E-2</v>
      </c>
      <c r="K22" s="20" t="s">
        <v>68</v>
      </c>
      <c r="L22" s="73"/>
    </row>
    <row r="23" spans="1:12" ht="15" customHeight="1" x14ac:dyDescent="0.3">
      <c r="A23" s="16">
        <f>'Raw Data'!A16</f>
        <v>44483</v>
      </c>
      <c r="B23" s="17">
        <f>'Raw Data'!B16</f>
        <v>5</v>
      </c>
      <c r="C23" s="17" t="str">
        <f>'Raw Data'!C16</f>
        <v>Friday</v>
      </c>
      <c r="D23" s="17">
        <f>'Raw Data'!D16</f>
        <v>0</v>
      </c>
      <c r="E23" s="17">
        <f>'Raw Data'!E16</f>
        <v>0</v>
      </c>
      <c r="F23" s="17">
        <f>'Raw Data'!F16</f>
        <v>0</v>
      </c>
      <c r="G23" s="18">
        <f>'Raw Data'!G16</f>
        <v>2855</v>
      </c>
      <c r="H23" s="34">
        <f t="shared" si="0"/>
        <v>2503.8508651469378</v>
      </c>
      <c r="I23" s="18">
        <f t="shared" si="1"/>
        <v>351.14913485306215</v>
      </c>
      <c r="J23" s="35">
        <f t="shared" si="2"/>
        <v>0.12299444303084489</v>
      </c>
      <c r="K23" s="17" t="s">
        <v>68</v>
      </c>
      <c r="L23" s="73"/>
    </row>
    <row r="24" spans="1:12" ht="15" customHeight="1" x14ac:dyDescent="0.3">
      <c r="A24" s="19">
        <f>'Raw Data'!A17</f>
        <v>44484</v>
      </c>
      <c r="B24" s="20">
        <f>'Raw Data'!B17</f>
        <v>6</v>
      </c>
      <c r="C24" s="20" t="str">
        <f>'Raw Data'!C17</f>
        <v>Saturday</v>
      </c>
      <c r="D24" s="20">
        <f>'Raw Data'!D17</f>
        <v>0</v>
      </c>
      <c r="E24" s="20">
        <f>'Raw Data'!E17</f>
        <v>0</v>
      </c>
      <c r="F24" s="20">
        <f>'Raw Data'!F17</f>
        <v>0</v>
      </c>
      <c r="G24" s="22">
        <f>'Raw Data'!G17</f>
        <v>2777</v>
      </c>
      <c r="H24" s="36">
        <f t="shared" si="0"/>
        <v>2503.8508651469378</v>
      </c>
      <c r="I24" s="22">
        <f t="shared" si="1"/>
        <v>273.14913485306215</v>
      </c>
      <c r="J24" s="37">
        <f t="shared" si="2"/>
        <v>9.8361229691415974E-2</v>
      </c>
      <c r="K24" s="20" t="s">
        <v>68</v>
      </c>
      <c r="L24" s="73"/>
    </row>
    <row r="25" spans="1:12" ht="15" customHeight="1" x14ac:dyDescent="0.3">
      <c r="A25" s="16">
        <f>'Raw Data'!A18</f>
        <v>44485</v>
      </c>
      <c r="B25" s="17">
        <f>'Raw Data'!B18</f>
        <v>7</v>
      </c>
      <c r="C25" s="17" t="str">
        <f>'Raw Data'!C18</f>
        <v>Sunday</v>
      </c>
      <c r="D25" s="17">
        <f>'Raw Data'!D18</f>
        <v>0</v>
      </c>
      <c r="E25" s="17">
        <f>'Raw Data'!E18</f>
        <v>1</v>
      </c>
      <c r="F25" s="17">
        <f>'Raw Data'!F18</f>
        <v>0</v>
      </c>
      <c r="G25" s="18">
        <f>'Raw Data'!G18</f>
        <v>3605</v>
      </c>
      <c r="H25" s="34">
        <f t="shared" si="0"/>
        <v>3768.9897006316942</v>
      </c>
      <c r="I25" s="18">
        <f t="shared" si="1"/>
        <v>-163.98970063169418</v>
      </c>
      <c r="J25" s="35">
        <f t="shared" si="2"/>
        <v>4.5489514738334028E-2</v>
      </c>
      <c r="K25" s="17" t="s">
        <v>68</v>
      </c>
      <c r="L25" s="73"/>
    </row>
    <row r="26" spans="1:12" ht="15" customHeight="1" x14ac:dyDescent="0.3">
      <c r="A26" s="19">
        <f>'Raw Data'!A19</f>
        <v>44486</v>
      </c>
      <c r="B26" s="20">
        <f>'Raw Data'!B19</f>
        <v>1</v>
      </c>
      <c r="C26" s="20" t="str">
        <f>'Raw Data'!C19</f>
        <v>Monday</v>
      </c>
      <c r="D26" s="20">
        <f>'Raw Data'!D19</f>
        <v>0</v>
      </c>
      <c r="E26" s="20">
        <f>'Raw Data'!E19</f>
        <v>1</v>
      </c>
      <c r="F26" s="20">
        <f>'Raw Data'!F19</f>
        <v>0</v>
      </c>
      <c r="G26" s="22">
        <f>'Raw Data'!G19</f>
        <v>2351</v>
      </c>
      <c r="H26" s="36">
        <f t="shared" si="0"/>
        <v>3768.9897006316942</v>
      </c>
      <c r="I26" s="22">
        <f t="shared" si="1"/>
        <v>-1417.9897006316942</v>
      </c>
      <c r="J26" s="37">
        <f t="shared" si="2"/>
        <v>0.60314321592160536</v>
      </c>
      <c r="K26" s="20" t="s">
        <v>68</v>
      </c>
      <c r="L26" s="73"/>
    </row>
    <row r="27" spans="1:12" ht="15" customHeight="1" x14ac:dyDescent="0.3">
      <c r="A27" s="16">
        <f>'Raw Data'!A20</f>
        <v>44487</v>
      </c>
      <c r="B27" s="17">
        <f>'Raw Data'!B20</f>
        <v>2</v>
      </c>
      <c r="C27" s="17" t="str">
        <f>'Raw Data'!C20</f>
        <v>Tuesday</v>
      </c>
      <c r="D27" s="17">
        <f>'Raw Data'!D20</f>
        <v>0</v>
      </c>
      <c r="E27" s="17">
        <f>'Raw Data'!E20</f>
        <v>0</v>
      </c>
      <c r="F27" s="17">
        <f>'Raw Data'!F20</f>
        <v>0</v>
      </c>
      <c r="G27" s="18">
        <f>'Raw Data'!G20</f>
        <v>2189</v>
      </c>
      <c r="H27" s="34">
        <f t="shared" si="0"/>
        <v>2503.8508651469378</v>
      </c>
      <c r="I27" s="18">
        <f t="shared" si="1"/>
        <v>-314.85086514693785</v>
      </c>
      <c r="J27" s="35">
        <f t="shared" si="2"/>
        <v>0.14383319559019545</v>
      </c>
      <c r="K27" s="17" t="s">
        <v>68</v>
      </c>
      <c r="L27" s="73"/>
    </row>
    <row r="28" spans="1:12" ht="15" customHeight="1" x14ac:dyDescent="0.3">
      <c r="A28" s="19">
        <f>'Raw Data'!A21</f>
        <v>44488</v>
      </c>
      <c r="B28" s="20">
        <f>'Raw Data'!B21</f>
        <v>3</v>
      </c>
      <c r="C28" s="20" t="str">
        <f>'Raw Data'!C21</f>
        <v>Wednesday</v>
      </c>
      <c r="D28" s="20">
        <f>'Raw Data'!D21</f>
        <v>0</v>
      </c>
      <c r="E28" s="20">
        <f>'Raw Data'!E21</f>
        <v>0</v>
      </c>
      <c r="F28" s="20">
        <f>'Raw Data'!F21</f>
        <v>0</v>
      </c>
      <c r="G28" s="22">
        <f>'Raw Data'!G21</f>
        <v>2139</v>
      </c>
      <c r="H28" s="36">
        <f t="shared" si="0"/>
        <v>2503.8508651469378</v>
      </c>
      <c r="I28" s="22">
        <f t="shared" si="1"/>
        <v>-364.85086514693785</v>
      </c>
      <c r="J28" s="37">
        <f t="shared" si="2"/>
        <v>0.17057076444457123</v>
      </c>
      <c r="K28" s="20" t="s">
        <v>68</v>
      </c>
      <c r="L28" s="73"/>
    </row>
    <row r="29" spans="1:12" ht="15" customHeight="1" x14ac:dyDescent="0.3">
      <c r="A29" s="16">
        <f>'Raw Data'!A22</f>
        <v>44489</v>
      </c>
      <c r="B29" s="17">
        <f>'Raw Data'!B22</f>
        <v>4</v>
      </c>
      <c r="C29" s="17" t="str">
        <f>'Raw Data'!C22</f>
        <v>Thursday</v>
      </c>
      <c r="D29" s="17">
        <f>'Raw Data'!D22</f>
        <v>0</v>
      </c>
      <c r="E29" s="17">
        <f>'Raw Data'!E22</f>
        <v>0</v>
      </c>
      <c r="F29" s="17">
        <f>'Raw Data'!F22</f>
        <v>0</v>
      </c>
      <c r="G29" s="18">
        <f>'Raw Data'!G22</f>
        <v>2569</v>
      </c>
      <c r="H29" s="34">
        <f t="shared" si="0"/>
        <v>2503.8508651469378</v>
      </c>
      <c r="I29" s="18">
        <f t="shared" si="1"/>
        <v>65.149134853062151</v>
      </c>
      <c r="J29" s="35">
        <f t="shared" si="2"/>
        <v>2.5359725516956852E-2</v>
      </c>
      <c r="K29" s="17" t="s">
        <v>68</v>
      </c>
      <c r="L29" s="73"/>
    </row>
    <row r="30" spans="1:12" ht="15" customHeight="1" x14ac:dyDescent="0.3">
      <c r="A30" s="19">
        <f>'Raw Data'!A23</f>
        <v>44490</v>
      </c>
      <c r="B30" s="20">
        <f>'Raw Data'!B23</f>
        <v>5</v>
      </c>
      <c r="C30" s="20" t="str">
        <f>'Raw Data'!C23</f>
        <v>Friday</v>
      </c>
      <c r="D30" s="20">
        <f>'Raw Data'!D23</f>
        <v>0</v>
      </c>
      <c r="E30" s="20">
        <f>'Raw Data'!E23</f>
        <v>0</v>
      </c>
      <c r="F30" s="20">
        <f>'Raw Data'!F23</f>
        <v>0</v>
      </c>
      <c r="G30" s="22">
        <f>'Raw Data'!G23</f>
        <v>2519</v>
      </c>
      <c r="H30" s="36">
        <f t="shared" si="0"/>
        <v>2503.8508651469378</v>
      </c>
      <c r="I30" s="22">
        <f t="shared" si="1"/>
        <v>15.149134853062151</v>
      </c>
      <c r="J30" s="37">
        <f t="shared" si="2"/>
        <v>6.0139479369043869E-3</v>
      </c>
      <c r="K30" s="20" t="s">
        <v>68</v>
      </c>
      <c r="L30" s="73"/>
    </row>
    <row r="31" spans="1:12" ht="15" customHeight="1" x14ac:dyDescent="0.3">
      <c r="A31" s="16">
        <f>'Raw Data'!A24</f>
        <v>44491</v>
      </c>
      <c r="B31" s="17">
        <f>'Raw Data'!B24</f>
        <v>6</v>
      </c>
      <c r="C31" s="17" t="str">
        <f>'Raw Data'!C24</f>
        <v>Saturday</v>
      </c>
      <c r="D31" s="17">
        <f>'Raw Data'!D24</f>
        <v>0</v>
      </c>
      <c r="E31" s="17">
        <f>'Raw Data'!E24</f>
        <v>0</v>
      </c>
      <c r="F31" s="17">
        <f>'Raw Data'!F24</f>
        <v>0</v>
      </c>
      <c r="G31" s="18">
        <f>'Raw Data'!G24</f>
        <v>2715</v>
      </c>
      <c r="H31" s="34">
        <f t="shared" si="0"/>
        <v>2503.8508651469378</v>
      </c>
      <c r="I31" s="18">
        <f t="shared" si="1"/>
        <v>211.14913485306215</v>
      </c>
      <c r="J31" s="35">
        <f t="shared" si="2"/>
        <v>7.7771320387868201E-2</v>
      </c>
      <c r="K31" s="17" t="s">
        <v>68</v>
      </c>
      <c r="L31" s="73"/>
    </row>
    <row r="32" spans="1:12" ht="15" customHeight="1" x14ac:dyDescent="0.3">
      <c r="A32" s="19">
        <f>'Raw Data'!A25</f>
        <v>44492</v>
      </c>
      <c r="B32" s="20">
        <f>'Raw Data'!B25</f>
        <v>7</v>
      </c>
      <c r="C32" s="20" t="str">
        <f>'Raw Data'!C25</f>
        <v>Sunday</v>
      </c>
      <c r="D32" s="20">
        <f>'Raw Data'!D25</f>
        <v>0</v>
      </c>
      <c r="E32" s="20">
        <f>'Raw Data'!E25</f>
        <v>1</v>
      </c>
      <c r="F32" s="20">
        <f>'Raw Data'!F25</f>
        <v>0</v>
      </c>
      <c r="G32" s="22">
        <f>'Raw Data'!G25</f>
        <v>2463</v>
      </c>
      <c r="H32" s="36">
        <f t="shared" si="0"/>
        <v>3768.9897006316942</v>
      </c>
      <c r="I32" s="22">
        <f t="shared" si="1"/>
        <v>-1305.9897006316942</v>
      </c>
      <c r="J32" s="37">
        <f t="shared" si="2"/>
        <v>0.5302434838131117</v>
      </c>
      <c r="K32" s="20" t="s">
        <v>68</v>
      </c>
      <c r="L32" s="73"/>
    </row>
    <row r="33" spans="1:12" ht="15" customHeight="1" x14ac:dyDescent="0.3">
      <c r="A33" s="16">
        <f>'Raw Data'!A26</f>
        <v>44493</v>
      </c>
      <c r="B33" s="17">
        <f>'Raw Data'!B26</f>
        <v>1</v>
      </c>
      <c r="C33" s="17" t="str">
        <f>'Raw Data'!C26</f>
        <v>Monday</v>
      </c>
      <c r="D33" s="17">
        <f>'Raw Data'!D26</f>
        <v>0</v>
      </c>
      <c r="E33" s="17">
        <f>'Raw Data'!E26</f>
        <v>1</v>
      </c>
      <c r="F33" s="17">
        <f>'Raw Data'!F26</f>
        <v>0</v>
      </c>
      <c r="G33" s="18">
        <f>'Raw Data'!G26</f>
        <v>5488</v>
      </c>
      <c r="H33" s="34">
        <f t="shared" si="0"/>
        <v>3768.9897006316942</v>
      </c>
      <c r="I33" s="18">
        <f t="shared" si="1"/>
        <v>1719.0102993683058</v>
      </c>
      <c r="J33" s="35">
        <f t="shared" si="2"/>
        <v>0.31323073968081372</v>
      </c>
      <c r="K33" s="17" t="s">
        <v>68</v>
      </c>
      <c r="L33" s="73"/>
    </row>
    <row r="34" spans="1:12" ht="15" customHeight="1" x14ac:dyDescent="0.3">
      <c r="A34" s="19">
        <f>'Raw Data'!A27</f>
        <v>44494</v>
      </c>
      <c r="B34" s="20">
        <f>'Raw Data'!B27</f>
        <v>2</v>
      </c>
      <c r="C34" s="20" t="str">
        <f>'Raw Data'!C27</f>
        <v>Tuesday</v>
      </c>
      <c r="D34" s="20">
        <f>'Raw Data'!D27</f>
        <v>1</v>
      </c>
      <c r="E34" s="20">
        <f>'Raw Data'!E27</f>
        <v>0</v>
      </c>
      <c r="F34" s="20">
        <f>'Raw Data'!F27</f>
        <v>0</v>
      </c>
      <c r="G34" s="22">
        <f>'Raw Data'!G27</f>
        <v>2191</v>
      </c>
      <c r="H34" s="36">
        <f t="shared" si="0"/>
        <v>2090.1472123043118</v>
      </c>
      <c r="I34" s="22">
        <f t="shared" si="1"/>
        <v>100.85278769568822</v>
      </c>
      <c r="J34" s="37">
        <f t="shared" si="2"/>
        <v>4.6030482745635884E-2</v>
      </c>
      <c r="K34" s="20" t="s">
        <v>68</v>
      </c>
      <c r="L34" s="73"/>
    </row>
    <row r="35" spans="1:12" ht="15" customHeight="1" x14ac:dyDescent="0.3">
      <c r="A35" s="16">
        <f>'Raw Data'!A28</f>
        <v>44495</v>
      </c>
      <c r="B35" s="17">
        <f>'Raw Data'!B28</f>
        <v>3</v>
      </c>
      <c r="C35" s="17" t="str">
        <f>'Raw Data'!C28</f>
        <v>Wednesday</v>
      </c>
      <c r="D35" s="17">
        <f>'Raw Data'!D28</f>
        <v>1</v>
      </c>
      <c r="E35" s="17">
        <f>'Raw Data'!E28</f>
        <v>0</v>
      </c>
      <c r="F35" s="17">
        <f>'Raw Data'!F28</f>
        <v>0</v>
      </c>
      <c r="G35" s="18">
        <f>'Raw Data'!G28</f>
        <v>1944</v>
      </c>
      <c r="H35" s="34">
        <f t="shared" si="0"/>
        <v>2090.1472123043118</v>
      </c>
      <c r="I35" s="18">
        <f t="shared" si="1"/>
        <v>-146.14721230431178</v>
      </c>
      <c r="J35" s="35">
        <f t="shared" si="2"/>
        <v>7.5178607152423749E-2</v>
      </c>
      <c r="K35" s="17" t="s">
        <v>68</v>
      </c>
      <c r="L35" s="73"/>
    </row>
    <row r="36" spans="1:12" ht="15" customHeight="1" x14ac:dyDescent="0.3">
      <c r="A36" s="19">
        <f>'Raw Data'!A29</f>
        <v>44496</v>
      </c>
      <c r="B36" s="20">
        <f>'Raw Data'!B29</f>
        <v>4</v>
      </c>
      <c r="C36" s="20" t="str">
        <f>'Raw Data'!C29</f>
        <v>Thursday</v>
      </c>
      <c r="D36" s="20">
        <f>'Raw Data'!D29</f>
        <v>1</v>
      </c>
      <c r="E36" s="20">
        <f>'Raw Data'!E29</f>
        <v>0</v>
      </c>
      <c r="F36" s="20">
        <f>'Raw Data'!F29</f>
        <v>0</v>
      </c>
      <c r="G36" s="22">
        <f>'Raw Data'!G29</f>
        <v>2955</v>
      </c>
      <c r="H36" s="36">
        <f t="shared" si="0"/>
        <v>2090.1472123043118</v>
      </c>
      <c r="I36" s="22">
        <f t="shared" si="1"/>
        <v>864.85278769568822</v>
      </c>
      <c r="J36" s="37">
        <f t="shared" si="2"/>
        <v>0.29267437823881159</v>
      </c>
      <c r="K36" s="20" t="s">
        <v>68</v>
      </c>
      <c r="L36" s="73"/>
    </row>
    <row r="37" spans="1:12" ht="15" customHeight="1" x14ac:dyDescent="0.3">
      <c r="A37" s="16">
        <f>'Raw Data'!A30</f>
        <v>44497</v>
      </c>
      <c r="B37" s="17">
        <f>'Raw Data'!B30</f>
        <v>5</v>
      </c>
      <c r="C37" s="17" t="str">
        <f>'Raw Data'!C30</f>
        <v>Friday</v>
      </c>
      <c r="D37" s="17">
        <f>'Raw Data'!D30</f>
        <v>1</v>
      </c>
      <c r="E37" s="17">
        <f>'Raw Data'!E30</f>
        <v>0</v>
      </c>
      <c r="F37" s="17">
        <f>'Raw Data'!F30</f>
        <v>1</v>
      </c>
      <c r="G37" s="18">
        <f>'Raw Data'!G30</f>
        <v>4089</v>
      </c>
      <c r="H37" s="34">
        <f t="shared" si="0"/>
        <v>5223.5308981049147</v>
      </c>
      <c r="I37" s="18">
        <f t="shared" si="1"/>
        <v>-1134.5308981049147</v>
      </c>
      <c r="J37" s="35">
        <f t="shared" si="2"/>
        <v>0.27745925607848243</v>
      </c>
      <c r="K37" s="17" t="s">
        <v>68</v>
      </c>
      <c r="L37" s="73"/>
    </row>
    <row r="38" spans="1:12" ht="15" customHeight="1" x14ac:dyDescent="0.3">
      <c r="A38" s="19">
        <f>'Raw Data'!A31</f>
        <v>44498</v>
      </c>
      <c r="B38" s="20">
        <f>'Raw Data'!B31</f>
        <v>6</v>
      </c>
      <c r="C38" s="20" t="str">
        <f>'Raw Data'!C31</f>
        <v>Saturday</v>
      </c>
      <c r="D38" s="20">
        <f>'Raw Data'!D31</f>
        <v>1</v>
      </c>
      <c r="E38" s="20">
        <f>'Raw Data'!E31</f>
        <v>0</v>
      </c>
      <c r="F38" s="20">
        <f>'Raw Data'!F31</f>
        <v>0</v>
      </c>
      <c r="G38" s="22">
        <f>'Raw Data'!G31</f>
        <v>2104</v>
      </c>
      <c r="H38" s="36">
        <f t="shared" si="0"/>
        <v>2090.1472123043118</v>
      </c>
      <c r="I38" s="22">
        <f t="shared" si="1"/>
        <v>13.852787695688221</v>
      </c>
      <c r="J38" s="37">
        <f t="shared" si="2"/>
        <v>6.5840245701940213E-3</v>
      </c>
      <c r="K38" s="20" t="s">
        <v>68</v>
      </c>
      <c r="L38" s="73"/>
    </row>
    <row r="39" spans="1:12" ht="15" customHeight="1" x14ac:dyDescent="0.3">
      <c r="A39" s="16">
        <f>'Raw Data'!A32</f>
        <v>44499</v>
      </c>
      <c r="B39" s="17">
        <f>'Raw Data'!B32</f>
        <v>7</v>
      </c>
      <c r="C39" s="17" t="str">
        <f>'Raw Data'!C32</f>
        <v>Sunday</v>
      </c>
      <c r="D39" s="17">
        <f>'Raw Data'!D32</f>
        <v>1</v>
      </c>
      <c r="E39" s="17">
        <f>'Raw Data'!E32</f>
        <v>1</v>
      </c>
      <c r="F39" s="17">
        <f>'Raw Data'!F32</f>
        <v>0</v>
      </c>
      <c r="G39" s="18">
        <f>'Raw Data'!G32</f>
        <v>4240</v>
      </c>
      <c r="H39" s="34">
        <f t="shared" si="0"/>
        <v>3355.2860477890681</v>
      </c>
      <c r="I39" s="18">
        <f t="shared" si="1"/>
        <v>884.71395221093189</v>
      </c>
      <c r="J39" s="35">
        <f t="shared" si="2"/>
        <v>0.20865895099314433</v>
      </c>
      <c r="K39" s="17" t="s">
        <v>68</v>
      </c>
      <c r="L39" s="73"/>
    </row>
    <row r="40" spans="1:12" ht="15" customHeight="1" x14ac:dyDescent="0.3">
      <c r="A40" s="19">
        <f>'Raw Data'!A33</f>
        <v>44500</v>
      </c>
      <c r="B40" s="20">
        <f>'Raw Data'!B33</f>
        <v>1</v>
      </c>
      <c r="C40" s="20" t="str">
        <f>'Raw Data'!C33</f>
        <v>Monday</v>
      </c>
      <c r="D40" s="20">
        <f>'Raw Data'!D33</f>
        <v>1</v>
      </c>
      <c r="E40" s="20">
        <f>'Raw Data'!E33</f>
        <v>1</v>
      </c>
      <c r="F40" s="20">
        <f>'Raw Data'!F33</f>
        <v>0</v>
      </c>
      <c r="G40" s="22">
        <f>'Raw Data'!G33</f>
        <v>2190</v>
      </c>
      <c r="H40" s="36">
        <f t="shared" si="0"/>
        <v>3355.2860477890681</v>
      </c>
      <c r="I40" s="22">
        <f t="shared" ref="I40:I49" si="3">G30-H40</f>
        <v>-836.28604778906811</v>
      </c>
      <c r="J40" s="37">
        <f t="shared" ref="J40:J49" si="4">ABS((G30-H40)/G30)</f>
        <v>0.33199128534699013</v>
      </c>
      <c r="K40" s="20" t="s">
        <v>68</v>
      </c>
      <c r="L40" s="73"/>
    </row>
    <row r="41" spans="1:12" ht="15" customHeight="1" x14ac:dyDescent="0.3">
      <c r="A41" s="16">
        <f>'Raw Data'!A34</f>
        <v>44501</v>
      </c>
      <c r="B41" s="17">
        <f>'Raw Data'!B34</f>
        <v>2</v>
      </c>
      <c r="C41" s="17" t="str">
        <f>'Raw Data'!C34</f>
        <v>Tuesday</v>
      </c>
      <c r="D41" s="17">
        <f>'Raw Data'!D34</f>
        <v>1</v>
      </c>
      <c r="E41" s="17">
        <f>'Raw Data'!E34</f>
        <v>0</v>
      </c>
      <c r="F41" s="17">
        <f>'Raw Data'!F34</f>
        <v>0</v>
      </c>
      <c r="G41" s="18">
        <f>'Raw Data'!G34</f>
        <v>1950</v>
      </c>
      <c r="H41" s="34">
        <f t="shared" si="0"/>
        <v>2090.1472123043118</v>
      </c>
      <c r="I41" s="18">
        <f t="shared" si="3"/>
        <v>624.85278769568822</v>
      </c>
      <c r="J41" s="35">
        <f t="shared" si="4"/>
        <v>0.23014835642566786</v>
      </c>
      <c r="K41" s="17" t="s">
        <v>68</v>
      </c>
      <c r="L41" s="73"/>
    </row>
    <row r="42" spans="1:12" ht="15" customHeight="1" x14ac:dyDescent="0.3">
      <c r="A42" s="19">
        <f>'Raw Data'!A35</f>
        <v>44502</v>
      </c>
      <c r="B42" s="20">
        <f>'Raw Data'!B35</f>
        <v>3</v>
      </c>
      <c r="C42" s="20" t="str">
        <f>'Raw Data'!C35</f>
        <v>Wednesday</v>
      </c>
      <c r="D42" s="20">
        <f>'Raw Data'!D35</f>
        <v>1</v>
      </c>
      <c r="E42" s="20">
        <f>'Raw Data'!E35</f>
        <v>0</v>
      </c>
      <c r="F42" s="20">
        <f>'Raw Data'!F35</f>
        <v>0</v>
      </c>
      <c r="G42" s="22">
        <f>'Raw Data'!G35</f>
        <v>1748</v>
      </c>
      <c r="H42" s="36">
        <f t="shared" si="0"/>
        <v>2090.1472123043118</v>
      </c>
      <c r="I42" s="22">
        <f t="shared" si="3"/>
        <v>372.85278769568822</v>
      </c>
      <c r="J42" s="37">
        <f t="shared" si="4"/>
        <v>0.15138156219881779</v>
      </c>
      <c r="K42" s="20" t="s">
        <v>68</v>
      </c>
      <c r="L42" s="73"/>
    </row>
    <row r="43" spans="1:12" ht="15" customHeight="1" x14ac:dyDescent="0.3">
      <c r="A43" s="16">
        <f>'Raw Data'!A36</f>
        <v>44503</v>
      </c>
      <c r="B43" s="17">
        <f>'Raw Data'!B36</f>
        <v>4</v>
      </c>
      <c r="C43" s="17" t="str">
        <f>'Raw Data'!C36</f>
        <v>Thursday</v>
      </c>
      <c r="D43" s="17">
        <f>'Raw Data'!D36</f>
        <v>1</v>
      </c>
      <c r="E43" s="17">
        <f>'Raw Data'!E36</f>
        <v>0</v>
      </c>
      <c r="F43" s="17">
        <f>'Raw Data'!F36</f>
        <v>0</v>
      </c>
      <c r="G43" s="18">
        <f>'Raw Data'!G36</f>
        <v>2186</v>
      </c>
      <c r="H43" s="34">
        <f t="shared" ref="H43:H61" si="5">$C$5+$C$6*D43+$C$7*E43+$C$8*F43</f>
        <v>2090.1472123043118</v>
      </c>
      <c r="I43" s="18">
        <f t="shared" si="3"/>
        <v>3397.8527876956882</v>
      </c>
      <c r="J43" s="35">
        <f t="shared" si="4"/>
        <v>0.61914227181043879</v>
      </c>
      <c r="K43" s="17" t="s">
        <v>68</v>
      </c>
      <c r="L43" s="73"/>
    </row>
    <row r="44" spans="1:12" ht="15" customHeight="1" x14ac:dyDescent="0.3">
      <c r="A44" s="19">
        <f>'Raw Data'!A37</f>
        <v>44504</v>
      </c>
      <c r="B44" s="20">
        <f>'Raw Data'!B37</f>
        <v>5</v>
      </c>
      <c r="C44" s="20" t="str">
        <f>'Raw Data'!C37</f>
        <v>Friday</v>
      </c>
      <c r="D44" s="20">
        <f>'Raw Data'!D37</f>
        <v>1</v>
      </c>
      <c r="E44" s="20">
        <f>'Raw Data'!E37</f>
        <v>0</v>
      </c>
      <c r="F44" s="20">
        <f>'Raw Data'!F37</f>
        <v>0</v>
      </c>
      <c r="G44" s="22">
        <f>'Raw Data'!G37</f>
        <v>1983</v>
      </c>
      <c r="H44" s="36">
        <f t="shared" si="5"/>
        <v>2090.1472123043118</v>
      </c>
      <c r="I44" s="22">
        <f t="shared" si="3"/>
        <v>100.85278769568822</v>
      </c>
      <c r="J44" s="37">
        <f t="shared" si="4"/>
        <v>4.6030482745635884E-2</v>
      </c>
      <c r="K44" s="20" t="s">
        <v>68</v>
      </c>
      <c r="L44" s="73"/>
    </row>
    <row r="45" spans="1:12" ht="15" customHeight="1" x14ac:dyDescent="0.3">
      <c r="A45" s="16">
        <f>'Raw Data'!A38</f>
        <v>44505</v>
      </c>
      <c r="B45" s="17">
        <f>'Raw Data'!B38</f>
        <v>6</v>
      </c>
      <c r="C45" s="17" t="str">
        <f>'Raw Data'!C38</f>
        <v>Saturday</v>
      </c>
      <c r="D45" s="17">
        <f>'Raw Data'!D38</f>
        <v>1</v>
      </c>
      <c r="E45" s="17">
        <f>'Raw Data'!E38</f>
        <v>0</v>
      </c>
      <c r="F45" s="17">
        <f>'Raw Data'!F38</f>
        <v>0</v>
      </c>
      <c r="G45" s="18">
        <f>'Raw Data'!G38</f>
        <v>2214</v>
      </c>
      <c r="H45" s="34">
        <f t="shared" si="5"/>
        <v>2090.1472123043118</v>
      </c>
      <c r="I45" s="18">
        <f t="shared" si="3"/>
        <v>-146.14721230431178</v>
      </c>
      <c r="J45" s="35">
        <f t="shared" si="4"/>
        <v>7.5178607152423749E-2</v>
      </c>
      <c r="K45" s="17" t="s">
        <v>68</v>
      </c>
      <c r="L45" s="73"/>
    </row>
    <row r="46" spans="1:12" ht="15" customHeight="1" x14ac:dyDescent="0.3">
      <c r="A46" s="19">
        <f>'Raw Data'!A39</f>
        <v>44506</v>
      </c>
      <c r="B46" s="20">
        <f>'Raw Data'!B39</f>
        <v>7</v>
      </c>
      <c r="C46" s="20" t="str">
        <f>'Raw Data'!C39</f>
        <v>Sunday</v>
      </c>
      <c r="D46" s="20">
        <f>'Raw Data'!D39</f>
        <v>1</v>
      </c>
      <c r="E46" s="20">
        <f>'Raw Data'!E39</f>
        <v>1</v>
      </c>
      <c r="F46" s="20">
        <f>'Raw Data'!F39</f>
        <v>0</v>
      </c>
      <c r="G46" s="22">
        <f>'Raw Data'!G39</f>
        <v>4930</v>
      </c>
      <c r="H46" s="36">
        <f t="shared" si="5"/>
        <v>3355.2860477890681</v>
      </c>
      <c r="I46" s="22">
        <f t="shared" si="3"/>
        <v>-400.28604778906811</v>
      </c>
      <c r="J46" s="37">
        <f t="shared" si="4"/>
        <v>0.13546059146838177</v>
      </c>
      <c r="K46" s="20" t="s">
        <v>68</v>
      </c>
      <c r="L46" s="73"/>
    </row>
    <row r="47" spans="1:12" ht="15" customHeight="1" x14ac:dyDescent="0.3">
      <c r="A47" s="16">
        <f>'Raw Data'!A40</f>
        <v>44507</v>
      </c>
      <c r="B47" s="17">
        <f>'Raw Data'!B40</f>
        <v>1</v>
      </c>
      <c r="C47" s="17" t="str">
        <f>'Raw Data'!C40</f>
        <v>Monday</v>
      </c>
      <c r="D47" s="17">
        <f>'Raw Data'!D40</f>
        <v>1</v>
      </c>
      <c r="E47" s="17">
        <f>'Raw Data'!E40</f>
        <v>1</v>
      </c>
      <c r="F47" s="17">
        <f>'Raw Data'!F40</f>
        <v>0</v>
      </c>
      <c r="G47" s="18">
        <f>'Raw Data'!G30</f>
        <v>4089</v>
      </c>
      <c r="H47" s="34">
        <f t="shared" si="5"/>
        <v>3355.2860477890681</v>
      </c>
      <c r="I47" s="18">
        <f t="shared" si="3"/>
        <v>733.71395221093189</v>
      </c>
      <c r="J47" s="35">
        <f t="shared" si="4"/>
        <v>0.17943603624625382</v>
      </c>
      <c r="K47" s="17" t="s">
        <v>68</v>
      </c>
      <c r="L47" s="73"/>
    </row>
    <row r="48" spans="1:12" ht="15" customHeight="1" x14ac:dyDescent="0.3">
      <c r="A48" s="19">
        <f>'Raw Data'!A41</f>
        <v>44508</v>
      </c>
      <c r="B48" s="20">
        <f>'Raw Data'!B41</f>
        <v>2</v>
      </c>
      <c r="C48" s="20" t="str">
        <f>'Raw Data'!C41</f>
        <v>Tuesday</v>
      </c>
      <c r="D48" s="20">
        <f>'Raw Data'!D41</f>
        <v>0</v>
      </c>
      <c r="E48" s="20">
        <f>'Raw Data'!E41</f>
        <v>0</v>
      </c>
      <c r="F48" s="20">
        <f>'Raw Data'!F41</f>
        <v>0</v>
      </c>
      <c r="G48" s="22">
        <f>'Raw Data'!G31</f>
        <v>2104</v>
      </c>
      <c r="H48" s="36">
        <f t="shared" si="5"/>
        <v>2503.8508651469378</v>
      </c>
      <c r="I48" s="22">
        <f t="shared" si="3"/>
        <v>-399.85086514693785</v>
      </c>
      <c r="J48" s="37">
        <f t="shared" si="4"/>
        <v>0.19004318685690963</v>
      </c>
      <c r="K48" s="20" t="s">
        <v>68</v>
      </c>
      <c r="L48" s="73"/>
    </row>
    <row r="49" spans="1:12" ht="15" customHeight="1" x14ac:dyDescent="0.3">
      <c r="A49" s="16">
        <f>'Raw Data'!A42</f>
        <v>44509</v>
      </c>
      <c r="B49" s="17">
        <f>'Raw Data'!B42</f>
        <v>3</v>
      </c>
      <c r="C49" s="17" t="str">
        <f>'Raw Data'!C42</f>
        <v>Wednesday</v>
      </c>
      <c r="D49" s="17">
        <f>'Raw Data'!D42</f>
        <v>0</v>
      </c>
      <c r="E49" s="17">
        <f>'Raw Data'!E42</f>
        <v>0</v>
      </c>
      <c r="F49" s="17">
        <f>'Raw Data'!F42</f>
        <v>1</v>
      </c>
      <c r="G49" s="18">
        <f>'Raw Data'!G32</f>
        <v>4240</v>
      </c>
      <c r="H49" s="34">
        <f t="shared" si="5"/>
        <v>5637.2345509475417</v>
      </c>
      <c r="I49" s="18">
        <f t="shared" si="3"/>
        <v>-1397.2345509475417</v>
      </c>
      <c r="J49" s="35">
        <f t="shared" si="4"/>
        <v>0.32953645069517495</v>
      </c>
      <c r="K49" s="17" t="s">
        <v>68</v>
      </c>
      <c r="L49" s="73"/>
    </row>
    <row r="50" spans="1:12" ht="15" customHeight="1" x14ac:dyDescent="0.3">
      <c r="A50" s="19">
        <f>'Raw Data'!A43</f>
        <v>44510</v>
      </c>
      <c r="B50" s="20">
        <f>'Raw Data'!B43</f>
        <v>4</v>
      </c>
      <c r="C50" s="20" t="str">
        <f>'Raw Data'!C43</f>
        <v>Thursday</v>
      </c>
      <c r="D50" s="20">
        <f>'Raw Data'!D43</f>
        <v>0</v>
      </c>
      <c r="E50" s="20">
        <f>'Raw Data'!E43</f>
        <v>0</v>
      </c>
      <c r="F50" s="20">
        <f>'Raw Data'!F43</f>
        <v>0</v>
      </c>
      <c r="G50" s="22">
        <f>'Raw Data'!G33</f>
        <v>2190</v>
      </c>
      <c r="H50" s="36">
        <f t="shared" si="5"/>
        <v>2503.8508651469378</v>
      </c>
      <c r="I50" s="22">
        <f t="shared" ref="I50:I61" si="6">G50-H50</f>
        <v>-313.85086514693785</v>
      </c>
      <c r="J50" s="37">
        <f t="shared" ref="J50:J61" si="7">ABS((G50-H50)/G50)</f>
        <v>0.14331089732736887</v>
      </c>
      <c r="K50" s="20" t="s">
        <v>68</v>
      </c>
      <c r="L50" s="73"/>
    </row>
    <row r="51" spans="1:12" ht="15" customHeight="1" x14ac:dyDescent="0.3">
      <c r="A51" s="16">
        <f>'Raw Data'!A44</f>
        <v>44511</v>
      </c>
      <c r="B51" s="17">
        <f>'Raw Data'!B44</f>
        <v>5</v>
      </c>
      <c r="C51" s="17" t="str">
        <f>'Raw Data'!C44</f>
        <v>Friday</v>
      </c>
      <c r="D51" s="17">
        <f>'Raw Data'!D44</f>
        <v>0</v>
      </c>
      <c r="E51" s="17">
        <f>'Raw Data'!E44</f>
        <v>0</v>
      </c>
      <c r="F51" s="17">
        <f>'Raw Data'!F44</f>
        <v>0</v>
      </c>
      <c r="G51" s="18">
        <f>'Raw Data'!G34</f>
        <v>1950</v>
      </c>
      <c r="H51" s="34">
        <f t="shared" si="5"/>
        <v>2503.8508651469378</v>
      </c>
      <c r="I51" s="18">
        <f t="shared" si="6"/>
        <v>-553.85086514693785</v>
      </c>
      <c r="J51" s="35">
        <f t="shared" si="7"/>
        <v>0.28402608469073737</v>
      </c>
      <c r="K51" s="17" t="s">
        <v>68</v>
      </c>
      <c r="L51" s="73"/>
    </row>
    <row r="52" spans="1:12" ht="15" customHeight="1" x14ac:dyDescent="0.3">
      <c r="A52" s="19">
        <f>'Raw Data'!A45</f>
        <v>44512</v>
      </c>
      <c r="B52" s="20">
        <f>'Raw Data'!B45</f>
        <v>6</v>
      </c>
      <c r="C52" s="20" t="str">
        <f>'Raw Data'!C45</f>
        <v>Saturday</v>
      </c>
      <c r="D52" s="20">
        <f>'Raw Data'!D45</f>
        <v>0</v>
      </c>
      <c r="E52" s="20">
        <f>'Raw Data'!E45</f>
        <v>0</v>
      </c>
      <c r="F52" s="20">
        <f>'Raw Data'!F45</f>
        <v>0</v>
      </c>
      <c r="G52" s="22">
        <f>'Raw Data'!G35</f>
        <v>1748</v>
      </c>
      <c r="H52" s="36">
        <f t="shared" si="5"/>
        <v>2503.8508651469378</v>
      </c>
      <c r="I52" s="22">
        <f t="shared" si="6"/>
        <v>-755.85086514693785</v>
      </c>
      <c r="J52" s="37">
        <f t="shared" si="7"/>
        <v>0.43240896175454108</v>
      </c>
      <c r="K52" s="20" t="s">
        <v>68</v>
      </c>
      <c r="L52" s="73"/>
    </row>
    <row r="53" spans="1:12" ht="15" customHeight="1" x14ac:dyDescent="0.3">
      <c r="A53" s="16">
        <f>'Raw Data'!A46</f>
        <v>44513</v>
      </c>
      <c r="B53" s="17">
        <f>'Raw Data'!B46</f>
        <v>7</v>
      </c>
      <c r="C53" s="17" t="str">
        <f>'Raw Data'!C46</f>
        <v>Sunday</v>
      </c>
      <c r="D53" s="17">
        <f>'Raw Data'!D46</f>
        <v>0</v>
      </c>
      <c r="E53" s="17">
        <f>'Raw Data'!E46</f>
        <v>1</v>
      </c>
      <c r="F53" s="17">
        <f>'Raw Data'!F46</f>
        <v>0</v>
      </c>
      <c r="G53" s="18">
        <f>'Raw Data'!G36</f>
        <v>2186</v>
      </c>
      <c r="H53" s="34">
        <f t="shared" si="5"/>
        <v>3768.9897006316942</v>
      </c>
      <c r="I53" s="18">
        <f t="shared" si="6"/>
        <v>-1582.9897006316942</v>
      </c>
      <c r="J53" s="35">
        <f t="shared" si="7"/>
        <v>0.72414899388458109</v>
      </c>
      <c r="K53" s="17" t="s">
        <v>68</v>
      </c>
      <c r="L53" s="73"/>
    </row>
    <row r="54" spans="1:12" ht="15" customHeight="1" x14ac:dyDescent="0.3">
      <c r="A54" s="19">
        <f>'Raw Data'!A47</f>
        <v>44514</v>
      </c>
      <c r="B54" s="20">
        <f>'Raw Data'!B47</f>
        <v>1</v>
      </c>
      <c r="C54" s="20" t="str">
        <f>'Raw Data'!C47</f>
        <v>Monday</v>
      </c>
      <c r="D54" s="20">
        <f>'Raw Data'!D47</f>
        <v>0</v>
      </c>
      <c r="E54" s="20">
        <f>'Raw Data'!E47</f>
        <v>1</v>
      </c>
      <c r="F54" s="20">
        <f>'Raw Data'!F47</f>
        <v>0</v>
      </c>
      <c r="G54" s="22">
        <f>'Raw Data'!G37</f>
        <v>1983</v>
      </c>
      <c r="H54" s="36">
        <f t="shared" si="5"/>
        <v>3768.9897006316942</v>
      </c>
      <c r="I54" s="22">
        <f t="shared" si="6"/>
        <v>-1785.9897006316942</v>
      </c>
      <c r="J54" s="37">
        <f t="shared" si="7"/>
        <v>0.90065037853338081</v>
      </c>
      <c r="K54" s="20" t="s">
        <v>68</v>
      </c>
      <c r="L54" s="73"/>
    </row>
    <row r="55" spans="1:12" ht="15" customHeight="1" x14ac:dyDescent="0.3">
      <c r="A55" s="16">
        <f>'Raw Data'!A48</f>
        <v>44515</v>
      </c>
      <c r="B55" s="17">
        <f>'Raw Data'!B48</f>
        <v>2</v>
      </c>
      <c r="C55" s="17" t="str">
        <f>'Raw Data'!C48</f>
        <v>Tuesday</v>
      </c>
      <c r="D55" s="17">
        <f>'Raw Data'!D48</f>
        <v>0</v>
      </c>
      <c r="E55" s="17">
        <f>'Raw Data'!E48</f>
        <v>0</v>
      </c>
      <c r="F55" s="17">
        <f>'Raw Data'!F48</f>
        <v>0</v>
      </c>
      <c r="G55" s="18">
        <f>'Raw Data'!G38</f>
        <v>2214</v>
      </c>
      <c r="H55" s="34">
        <f t="shared" si="5"/>
        <v>2503.8508651469378</v>
      </c>
      <c r="I55" s="18">
        <f t="shared" si="6"/>
        <v>-289.85086514693785</v>
      </c>
      <c r="J55" s="35">
        <f t="shared" si="7"/>
        <v>0.13091728326419957</v>
      </c>
      <c r="K55" s="17" t="s">
        <v>68</v>
      </c>
      <c r="L55" s="73"/>
    </row>
    <row r="56" spans="1:12" ht="15" customHeight="1" x14ac:dyDescent="0.3">
      <c r="A56" s="19">
        <f>'Raw Data'!A49</f>
        <v>44516</v>
      </c>
      <c r="B56" s="20">
        <f>'Raw Data'!B49</f>
        <v>3</v>
      </c>
      <c r="C56" s="20" t="str">
        <f>'Raw Data'!C49</f>
        <v>Wednesday</v>
      </c>
      <c r="D56" s="20">
        <f>'Raw Data'!D49</f>
        <v>0</v>
      </c>
      <c r="E56" s="20">
        <f>'Raw Data'!E49</f>
        <v>0</v>
      </c>
      <c r="F56" s="20">
        <f>'Raw Data'!F49</f>
        <v>0</v>
      </c>
      <c r="G56" s="22">
        <f>'Raw Data'!G39</f>
        <v>4930</v>
      </c>
      <c r="H56" s="36">
        <f t="shared" si="5"/>
        <v>2503.8508651469378</v>
      </c>
      <c r="I56" s="22">
        <f t="shared" si="6"/>
        <v>2426.1491348530622</v>
      </c>
      <c r="J56" s="37">
        <f t="shared" si="7"/>
        <v>0.49211949997019516</v>
      </c>
      <c r="K56" s="20" t="s">
        <v>68</v>
      </c>
      <c r="L56" s="73"/>
    </row>
    <row r="57" spans="1:12" ht="15" customHeight="1" x14ac:dyDescent="0.3">
      <c r="A57" s="16">
        <f>'Raw Data'!A50</f>
        <v>44517</v>
      </c>
      <c r="B57" s="17">
        <f>'Raw Data'!B50</f>
        <v>4</v>
      </c>
      <c r="C57" s="17" t="str">
        <f>'Raw Data'!C50</f>
        <v>Thursday</v>
      </c>
      <c r="D57" s="17">
        <f>'Raw Data'!D50</f>
        <v>0</v>
      </c>
      <c r="E57" s="17">
        <f>'Raw Data'!E50</f>
        <v>0</v>
      </c>
      <c r="F57" s="17">
        <f>'Raw Data'!F50</f>
        <v>0</v>
      </c>
      <c r="G57" s="18">
        <f>'Raw Data'!G50</f>
        <v>2159</v>
      </c>
      <c r="H57" s="34">
        <f t="shared" si="5"/>
        <v>2503.8508651469378</v>
      </c>
      <c r="I57" s="18">
        <f t="shared" si="6"/>
        <v>-344.85086514693785</v>
      </c>
      <c r="J57" s="35">
        <f t="shared" si="7"/>
        <v>0.15972712605231026</v>
      </c>
      <c r="K57" s="17" t="s">
        <v>68</v>
      </c>
      <c r="L57" s="73"/>
    </row>
    <row r="58" spans="1:12" ht="15" customHeight="1" x14ac:dyDescent="0.3">
      <c r="A58" s="19">
        <f>'Raw Data'!A51</f>
        <v>44518</v>
      </c>
      <c r="B58" s="20">
        <f>'Raw Data'!B51</f>
        <v>5</v>
      </c>
      <c r="C58" s="20" t="str">
        <f>'Raw Data'!C51</f>
        <v>Friday</v>
      </c>
      <c r="D58" s="20">
        <f>'Raw Data'!D51</f>
        <v>0</v>
      </c>
      <c r="E58" s="20">
        <f>'Raw Data'!E51</f>
        <v>0</v>
      </c>
      <c r="F58" s="20">
        <f>'Raw Data'!F51</f>
        <v>0</v>
      </c>
      <c r="G58" s="22">
        <f>'Raw Data'!G51</f>
        <v>2747</v>
      </c>
      <c r="H58" s="36">
        <f t="shared" si="5"/>
        <v>2503.8508651469378</v>
      </c>
      <c r="I58" s="22">
        <f t="shared" si="6"/>
        <v>243.14913485306215</v>
      </c>
      <c r="J58" s="37">
        <f t="shared" si="7"/>
        <v>8.8514428413928703E-2</v>
      </c>
      <c r="K58" s="20" t="s">
        <v>68</v>
      </c>
      <c r="L58" s="73"/>
    </row>
    <row r="59" spans="1:12" ht="15" customHeight="1" x14ac:dyDescent="0.3">
      <c r="A59" s="16">
        <f>'Raw Data'!A52</f>
        <v>44519</v>
      </c>
      <c r="B59" s="17">
        <f>'Raw Data'!B52</f>
        <v>6</v>
      </c>
      <c r="C59" s="17" t="str">
        <f>'Raw Data'!C52</f>
        <v>Saturday</v>
      </c>
      <c r="D59" s="17">
        <f>'Raw Data'!D52</f>
        <v>0</v>
      </c>
      <c r="E59" s="17">
        <f>'Raw Data'!E52</f>
        <v>0</v>
      </c>
      <c r="F59" s="17">
        <f>'Raw Data'!F52</f>
        <v>0</v>
      </c>
      <c r="G59" s="18">
        <f>'Raw Data'!G52</f>
        <v>2382</v>
      </c>
      <c r="H59" s="34">
        <f t="shared" si="5"/>
        <v>2503.8508651469378</v>
      </c>
      <c r="I59" s="18">
        <f t="shared" si="6"/>
        <v>-121.85086514693785</v>
      </c>
      <c r="J59" s="35">
        <f t="shared" si="7"/>
        <v>5.1154855225414714E-2</v>
      </c>
      <c r="K59" s="17" t="s">
        <v>68</v>
      </c>
      <c r="L59" s="73"/>
    </row>
    <row r="60" spans="1:12" ht="15" customHeight="1" x14ac:dyDescent="0.3">
      <c r="A60" s="19">
        <f>'Raw Data'!A53</f>
        <v>44520</v>
      </c>
      <c r="B60" s="20">
        <f>'Raw Data'!B53</f>
        <v>7</v>
      </c>
      <c r="C60" s="20" t="str">
        <f>'Raw Data'!C53</f>
        <v>Sunday</v>
      </c>
      <c r="D60" s="20">
        <f>'Raw Data'!D53</f>
        <v>0</v>
      </c>
      <c r="E60" s="20">
        <f>'Raw Data'!E53</f>
        <v>1</v>
      </c>
      <c r="F60" s="20">
        <f>'Raw Data'!F53</f>
        <v>0</v>
      </c>
      <c r="G60" s="22">
        <f>'Raw Data'!G53</f>
        <v>2551</v>
      </c>
      <c r="H60" s="36">
        <f t="shared" si="5"/>
        <v>3768.9897006316942</v>
      </c>
      <c r="I60" s="22">
        <f t="shared" si="6"/>
        <v>-1217.9897006316942</v>
      </c>
      <c r="J60" s="37">
        <f t="shared" si="7"/>
        <v>0.47745578229388247</v>
      </c>
      <c r="K60" s="20" t="s">
        <v>68</v>
      </c>
      <c r="L60" s="73"/>
    </row>
    <row r="61" spans="1:12" ht="15" customHeight="1" x14ac:dyDescent="0.3">
      <c r="A61" s="16">
        <f>'Raw Data'!A54</f>
        <v>44521</v>
      </c>
      <c r="B61" s="17">
        <f>'Raw Data'!B54</f>
        <v>1</v>
      </c>
      <c r="C61" s="17" t="str">
        <f>'Raw Data'!C54</f>
        <v>Monday</v>
      </c>
      <c r="D61" s="17">
        <f>'Raw Data'!D54</f>
        <v>0</v>
      </c>
      <c r="E61" s="17">
        <f>'Raw Data'!E54</f>
        <v>1</v>
      </c>
      <c r="F61" s="17">
        <f>'Raw Data'!F54</f>
        <v>0</v>
      </c>
      <c r="G61" s="18">
        <f>'Raw Data'!G54</f>
        <v>3653</v>
      </c>
      <c r="H61" s="34">
        <f t="shared" si="5"/>
        <v>3768.9897006316942</v>
      </c>
      <c r="I61" s="18">
        <f t="shared" si="6"/>
        <v>-115.98970063169418</v>
      </c>
      <c r="J61" s="35">
        <f t="shared" si="7"/>
        <v>3.1751902718777494E-2</v>
      </c>
      <c r="K61" s="17" t="s">
        <v>68</v>
      </c>
      <c r="L61" s="73"/>
    </row>
    <row r="62" spans="1:12" ht="15" customHeight="1" x14ac:dyDescent="0.3">
      <c r="A62" s="19">
        <f>'Raw Data'!A55</f>
        <v>44522</v>
      </c>
      <c r="B62" s="20">
        <f>'Raw Data'!B55</f>
        <v>2</v>
      </c>
      <c r="C62" s="20" t="str">
        <f>'Raw Data'!C55</f>
        <v>Tuesday</v>
      </c>
      <c r="D62" s="20">
        <f>'Raw Data'!D55</f>
        <v>0</v>
      </c>
      <c r="E62" s="20">
        <f>'Raw Data'!E55</f>
        <v>0</v>
      </c>
      <c r="F62" s="20">
        <f>'Raw Data'!F55</f>
        <v>0</v>
      </c>
      <c r="G62" s="22">
        <f>'Raw Data'!G55</f>
        <v>2375</v>
      </c>
      <c r="H62" s="36">
        <f>$C$5+$C$6*D61+$C$7*E62+$C$8*F61</f>
        <v>2503.8508651469378</v>
      </c>
      <c r="I62" s="22">
        <f>G61-H62</f>
        <v>1149.1491348530622</v>
      </c>
      <c r="J62" s="37">
        <f>ABS((G61-H62)/G61)</f>
        <v>0.31457682311882346</v>
      </c>
      <c r="K62" s="20" t="s">
        <v>68</v>
      </c>
      <c r="L62" s="73"/>
    </row>
    <row r="63" spans="1:12" ht="15" customHeight="1" x14ac:dyDescent="0.3">
      <c r="A63" s="16">
        <f>'Raw Data'!A56</f>
        <v>44523</v>
      </c>
      <c r="B63" s="17">
        <f>'Raw Data'!B56</f>
        <v>3</v>
      </c>
      <c r="C63" s="17" t="str">
        <f>'Raw Data'!C56</f>
        <v>Wednesday</v>
      </c>
      <c r="D63" s="17">
        <f>'Raw Data'!D56</f>
        <v>0</v>
      </c>
      <c r="E63" s="17">
        <f>'Raw Data'!E56</f>
        <v>0</v>
      </c>
      <c r="F63" s="17">
        <f>'Raw Data'!F56</f>
        <v>0</v>
      </c>
      <c r="G63" s="18">
        <f>'Raw Data'!G56</f>
        <v>2545</v>
      </c>
      <c r="H63" s="34">
        <f t="shared" ref="H63:H69" si="8">$C$5+$C$6*D63+$C$7*E63+$C$8*F63</f>
        <v>2503.8508651469378</v>
      </c>
      <c r="I63" s="18">
        <f t="shared" ref="I63:I69" si="9">G63-H63</f>
        <v>41.149134853062151</v>
      </c>
      <c r="J63" s="35">
        <f t="shared" ref="J63:J69" si="10">ABS((G63-H63)/G63)</f>
        <v>1.6168618802774912E-2</v>
      </c>
      <c r="K63" s="17" t="s">
        <v>68</v>
      </c>
      <c r="L63" s="73"/>
    </row>
    <row r="64" spans="1:12" ht="15" customHeight="1" x14ac:dyDescent="0.3">
      <c r="A64" s="19">
        <f>'Raw Data'!A57</f>
        <v>44524</v>
      </c>
      <c r="B64" s="20">
        <f>'Raw Data'!B57</f>
        <v>4</v>
      </c>
      <c r="C64" s="20" t="str">
        <f>'Raw Data'!C57</f>
        <v>Thursday</v>
      </c>
      <c r="D64" s="20">
        <f>'Raw Data'!D57</f>
        <v>0</v>
      </c>
      <c r="E64" s="20">
        <f>'Raw Data'!E57</f>
        <v>0</v>
      </c>
      <c r="F64" s="20">
        <f>'Raw Data'!F57</f>
        <v>0</v>
      </c>
      <c r="G64" s="22">
        <f>'Raw Data'!G57</f>
        <v>2820</v>
      </c>
      <c r="H64" s="36">
        <f t="shared" si="8"/>
        <v>2503.8508651469378</v>
      </c>
      <c r="I64" s="22">
        <f t="shared" si="9"/>
        <v>316.14913485306215</v>
      </c>
      <c r="J64" s="37">
        <f t="shared" si="10"/>
        <v>0.11210962228831992</v>
      </c>
      <c r="K64" s="20" t="s">
        <v>68</v>
      </c>
      <c r="L64" s="73"/>
    </row>
    <row r="65" spans="1:12" ht="15" customHeight="1" x14ac:dyDescent="0.3">
      <c r="A65" s="16">
        <f>'Raw Data'!A58</f>
        <v>44525</v>
      </c>
      <c r="B65" s="17">
        <f>'Raw Data'!B58</f>
        <v>5</v>
      </c>
      <c r="C65" s="17" t="str">
        <f>'Raw Data'!C58</f>
        <v>Friday</v>
      </c>
      <c r="D65" s="17">
        <f>'Raw Data'!D58</f>
        <v>0</v>
      </c>
      <c r="E65" s="17">
        <f>'Raw Data'!E58</f>
        <v>0</v>
      </c>
      <c r="F65" s="17">
        <f>'Raw Data'!F58</f>
        <v>0</v>
      </c>
      <c r="G65" s="18">
        <f>'Raw Data'!G58</f>
        <v>2149</v>
      </c>
      <c r="H65" s="34">
        <f t="shared" si="8"/>
        <v>2503.8508651469378</v>
      </c>
      <c r="I65" s="18">
        <f t="shared" si="9"/>
        <v>-354.85086514693785</v>
      </c>
      <c r="J65" s="35">
        <f t="shared" si="10"/>
        <v>0.16512371575008741</v>
      </c>
      <c r="K65" s="17" t="s">
        <v>68</v>
      </c>
      <c r="L65" s="73"/>
    </row>
    <row r="66" spans="1:12" ht="15" customHeight="1" x14ac:dyDescent="0.3">
      <c r="A66" s="19">
        <f>'Raw Data'!A59</f>
        <v>44526</v>
      </c>
      <c r="B66" s="20">
        <f>'Raw Data'!B59</f>
        <v>6</v>
      </c>
      <c r="C66" s="20" t="str">
        <f>'Raw Data'!C59</f>
        <v>Saturday</v>
      </c>
      <c r="D66" s="20">
        <f>'Raw Data'!D59</f>
        <v>0</v>
      </c>
      <c r="E66" s="20">
        <f>'Raw Data'!E59</f>
        <v>0</v>
      </c>
      <c r="F66" s="20">
        <f>'Raw Data'!F59</f>
        <v>0</v>
      </c>
      <c r="G66" s="22">
        <f>'Raw Data'!G59</f>
        <v>2567</v>
      </c>
      <c r="H66" s="36">
        <f t="shared" si="8"/>
        <v>2503.8508651469378</v>
      </c>
      <c r="I66" s="22">
        <f t="shared" si="9"/>
        <v>63.149134853062151</v>
      </c>
      <c r="J66" s="37">
        <f t="shared" si="10"/>
        <v>2.4600364181169516E-2</v>
      </c>
      <c r="K66" s="20" t="s">
        <v>68</v>
      </c>
      <c r="L66" s="73"/>
    </row>
    <row r="67" spans="1:12" ht="15" customHeight="1" x14ac:dyDescent="0.3">
      <c r="A67" s="16">
        <f>'Raw Data'!A60</f>
        <v>44527</v>
      </c>
      <c r="B67" s="17">
        <f>'Raw Data'!B60</f>
        <v>7</v>
      </c>
      <c r="C67" s="17" t="str">
        <f>'Raw Data'!C60</f>
        <v>Sunday</v>
      </c>
      <c r="D67" s="17">
        <f>'Raw Data'!D60</f>
        <v>0</v>
      </c>
      <c r="E67" s="17">
        <f>'Raw Data'!E60</f>
        <v>1</v>
      </c>
      <c r="F67" s="17">
        <f>'Raw Data'!F60</f>
        <v>0</v>
      </c>
      <c r="G67" s="18">
        <f>'Raw Data'!G60</f>
        <v>3779</v>
      </c>
      <c r="H67" s="34">
        <f t="shared" si="8"/>
        <v>3768.9897006316942</v>
      </c>
      <c r="I67" s="18">
        <f t="shared" si="9"/>
        <v>10.010299368305823</v>
      </c>
      <c r="J67" s="35">
        <f t="shared" si="10"/>
        <v>2.6489281207477699E-3</v>
      </c>
      <c r="K67" s="17" t="s">
        <v>68</v>
      </c>
      <c r="L67" s="73"/>
    </row>
    <row r="68" spans="1:12" ht="15" customHeight="1" x14ac:dyDescent="0.3">
      <c r="A68" s="19">
        <f>'Raw Data'!A61</f>
        <v>44528</v>
      </c>
      <c r="B68" s="20">
        <f>'Raw Data'!B61</f>
        <v>1</v>
      </c>
      <c r="C68" s="20" t="str">
        <f>'Raw Data'!C61</f>
        <v>Monday</v>
      </c>
      <c r="D68" s="20">
        <f>'Raw Data'!D61</f>
        <v>0</v>
      </c>
      <c r="E68" s="20">
        <f>'Raw Data'!E61</f>
        <v>1</v>
      </c>
      <c r="F68" s="20">
        <f>'Raw Data'!F61</f>
        <v>0</v>
      </c>
      <c r="G68" s="22">
        <f>'Raw Data'!G61</f>
        <v>2933</v>
      </c>
      <c r="H68" s="36">
        <f t="shared" si="8"/>
        <v>3768.9897006316942</v>
      </c>
      <c r="I68" s="22">
        <f t="shared" si="9"/>
        <v>-835.98970063169418</v>
      </c>
      <c r="J68" s="37">
        <f t="shared" si="10"/>
        <v>0.28502887849699765</v>
      </c>
      <c r="K68" s="20" t="s">
        <v>68</v>
      </c>
      <c r="L68" s="73"/>
    </row>
    <row r="69" spans="1:12" ht="15" customHeight="1" x14ac:dyDescent="0.3">
      <c r="A69" s="16">
        <f>'Raw Data'!A62</f>
        <v>44529</v>
      </c>
      <c r="B69" s="17">
        <f>'Raw Data'!B61</f>
        <v>1</v>
      </c>
      <c r="C69" s="17" t="str">
        <f>'Raw Data'!C62</f>
        <v>Tuesday</v>
      </c>
      <c r="D69" s="17">
        <f>'Raw Data'!D61</f>
        <v>0</v>
      </c>
      <c r="E69" s="17">
        <f>'Raw Data'!E62</f>
        <v>0</v>
      </c>
      <c r="F69" s="17">
        <f>'Raw Data'!F61</f>
        <v>0</v>
      </c>
      <c r="G69" s="18">
        <f>'Raw Data'!G61</f>
        <v>2933</v>
      </c>
      <c r="H69" s="34">
        <f t="shared" si="8"/>
        <v>2503.8508651469378</v>
      </c>
      <c r="I69" s="18">
        <f t="shared" si="9"/>
        <v>429.14913485306215</v>
      </c>
      <c r="J69" s="35">
        <f t="shared" si="10"/>
        <v>0.14631746841222712</v>
      </c>
      <c r="K69" s="17" t="s">
        <v>68</v>
      </c>
      <c r="L69" s="73"/>
    </row>
    <row r="70" spans="1:12" ht="15" customHeight="1" x14ac:dyDescent="0.3">
      <c r="A70" s="10" t="s">
        <v>38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 x14ac:dyDescent="0.3">
      <c r="A71" s="25">
        <f>'Raw Data'!A63</f>
        <v>44530</v>
      </c>
      <c r="B71" s="26">
        <f>'Raw Data'!B63</f>
        <v>3</v>
      </c>
      <c r="C71" s="26" t="str">
        <f>'Raw Data'!C63</f>
        <v>Wednesday</v>
      </c>
      <c r="D71" s="26">
        <f>'Raw Data'!D63</f>
        <v>0</v>
      </c>
      <c r="E71" s="26">
        <f>'Raw Data'!E63</f>
        <v>0</v>
      </c>
      <c r="F71" s="26">
        <f>'Raw Data'!F63</f>
        <v>0</v>
      </c>
      <c r="G71" s="27">
        <f>'Raw Data'!G63</f>
        <v>2789</v>
      </c>
      <c r="H71" s="38">
        <f t="shared" ref="H71:H85" si="11">$C$5+$C$6*D71+$C$7*E71+$C$8*F71</f>
        <v>2503.8508651469378</v>
      </c>
      <c r="I71" s="27">
        <f t="shared" ref="I71:I84" si="12">G71-H71</f>
        <v>285.14913485306215</v>
      </c>
      <c r="J71" s="39">
        <f t="shared" ref="J71:J84" si="13">ABS((G71-H71)/G71)</f>
        <v>0.10224063637614275</v>
      </c>
      <c r="K71" s="26" t="s">
        <v>69</v>
      </c>
      <c r="L71" s="73"/>
    </row>
    <row r="72" spans="1:12" ht="15" customHeight="1" x14ac:dyDescent="0.3">
      <c r="A72" s="40">
        <f>'Raw Data'!A64</f>
        <v>44531</v>
      </c>
      <c r="B72" s="41">
        <f>'Raw Data'!B64</f>
        <v>4</v>
      </c>
      <c r="C72" s="41" t="str">
        <f>'Raw Data'!C64</f>
        <v>Thursday</v>
      </c>
      <c r="D72" s="41">
        <f>'Raw Data'!D64</f>
        <v>0</v>
      </c>
      <c r="E72" s="41">
        <f>'Raw Data'!E64</f>
        <v>0</v>
      </c>
      <c r="F72" s="41">
        <f>'Raw Data'!F64</f>
        <v>0</v>
      </c>
      <c r="G72" s="42">
        <f>'Raw Data'!G64</f>
        <v>2400</v>
      </c>
      <c r="H72" s="43">
        <f t="shared" si="11"/>
        <v>2503.8508651469378</v>
      </c>
      <c r="I72" s="42">
        <f t="shared" si="12"/>
        <v>-103.85086514693785</v>
      </c>
      <c r="J72" s="44">
        <f t="shared" si="13"/>
        <v>4.3271193811224101E-2</v>
      </c>
      <c r="K72" s="41" t="s">
        <v>69</v>
      </c>
      <c r="L72" s="73"/>
    </row>
    <row r="73" spans="1:12" ht="15" customHeight="1" x14ac:dyDescent="0.3">
      <c r="A73" s="25">
        <f>'Raw Data'!A65</f>
        <v>44532</v>
      </c>
      <c r="B73" s="26">
        <f>'Raw Data'!B65</f>
        <v>5</v>
      </c>
      <c r="C73" s="26" t="str">
        <f>'Raw Data'!C65</f>
        <v>Friday</v>
      </c>
      <c r="D73" s="26">
        <f>'Raw Data'!D65</f>
        <v>0</v>
      </c>
      <c r="E73" s="26">
        <f>'Raw Data'!E65</f>
        <v>0</v>
      </c>
      <c r="F73" s="26">
        <f>'Raw Data'!F65</f>
        <v>0</v>
      </c>
      <c r="G73" s="27">
        <f>'Raw Data'!G65</f>
        <v>2394</v>
      </c>
      <c r="H73" s="38">
        <f t="shared" si="11"/>
        <v>2503.8508651469378</v>
      </c>
      <c r="I73" s="27">
        <f t="shared" si="12"/>
        <v>-109.85086514693785</v>
      </c>
      <c r="J73" s="39">
        <f t="shared" si="13"/>
        <v>4.5885908582680802E-2</v>
      </c>
      <c r="K73" s="26" t="s">
        <v>69</v>
      </c>
      <c r="L73" s="73"/>
    </row>
    <row r="74" spans="1:12" ht="15" customHeight="1" x14ac:dyDescent="0.3">
      <c r="A74" s="40">
        <f>'Raw Data'!A66</f>
        <v>44533</v>
      </c>
      <c r="B74" s="41">
        <f>'Raw Data'!B66</f>
        <v>6</v>
      </c>
      <c r="C74" s="41" t="str">
        <f>'Raw Data'!C66</f>
        <v>Saturday</v>
      </c>
      <c r="D74" s="41">
        <f>'Raw Data'!D66</f>
        <v>0</v>
      </c>
      <c r="E74" s="41">
        <f>'Raw Data'!E66</f>
        <v>0</v>
      </c>
      <c r="F74" s="41">
        <f>'Raw Data'!F66</f>
        <v>1</v>
      </c>
      <c r="G74" s="42">
        <f>'Raw Data'!G66</f>
        <v>4678</v>
      </c>
      <c r="H74" s="43">
        <f t="shared" si="11"/>
        <v>5637.2345509475417</v>
      </c>
      <c r="I74" s="42">
        <f t="shared" si="12"/>
        <v>-959.23455094754172</v>
      </c>
      <c r="J74" s="44">
        <f t="shared" si="13"/>
        <v>0.20505227681649033</v>
      </c>
      <c r="K74" s="41" t="s">
        <v>69</v>
      </c>
      <c r="L74" s="73"/>
    </row>
    <row r="75" spans="1:12" ht="15" customHeight="1" x14ac:dyDescent="0.3">
      <c r="A75" s="25">
        <f>'Raw Data'!A67</f>
        <v>44534</v>
      </c>
      <c r="B75" s="26">
        <f>'Raw Data'!B67</f>
        <v>7</v>
      </c>
      <c r="C75" s="26" t="str">
        <f>'Raw Data'!C67</f>
        <v>Sunday</v>
      </c>
      <c r="D75" s="26">
        <f>'Raw Data'!D67</f>
        <v>0</v>
      </c>
      <c r="E75" s="26">
        <f>'Raw Data'!E67</f>
        <v>1</v>
      </c>
      <c r="F75" s="26">
        <f>'Raw Data'!F67</f>
        <v>0</v>
      </c>
      <c r="G75" s="27">
        <f>'Raw Data'!G67</f>
        <v>3483</v>
      </c>
      <c r="H75" s="38">
        <f t="shared" si="11"/>
        <v>3768.9897006316942</v>
      </c>
      <c r="I75" s="27">
        <f t="shared" si="12"/>
        <v>-285.98970063169418</v>
      </c>
      <c r="J75" s="39">
        <f t="shared" si="13"/>
        <v>8.211016383338908E-2</v>
      </c>
      <c r="K75" s="26" t="s">
        <v>69</v>
      </c>
      <c r="L75" s="73"/>
    </row>
    <row r="76" spans="1:12" ht="15" customHeight="1" x14ac:dyDescent="0.3">
      <c r="A76" s="40">
        <f>'Raw Data'!A68</f>
        <v>44535</v>
      </c>
      <c r="B76" s="41">
        <f>'Raw Data'!B68</f>
        <v>1</v>
      </c>
      <c r="C76" s="41" t="str">
        <f>'Raw Data'!C68</f>
        <v>Monday</v>
      </c>
      <c r="D76" s="41">
        <f>'Raw Data'!D68</f>
        <v>0</v>
      </c>
      <c r="E76" s="41">
        <f>'Raw Data'!E68</f>
        <v>1</v>
      </c>
      <c r="F76" s="41">
        <f>'Raw Data'!F68</f>
        <v>0</v>
      </c>
      <c r="G76" s="42">
        <f>'Raw Data'!G68</f>
        <v>3349</v>
      </c>
      <c r="H76" s="43">
        <f t="shared" si="11"/>
        <v>3768.9897006316942</v>
      </c>
      <c r="I76" s="42">
        <f t="shared" si="12"/>
        <v>-419.98970063169418</v>
      </c>
      <c r="J76" s="44">
        <f t="shared" si="13"/>
        <v>0.12540749496318129</v>
      </c>
      <c r="K76" s="41" t="s">
        <v>69</v>
      </c>
      <c r="L76" s="73"/>
    </row>
    <row r="77" spans="1:12" ht="15" customHeight="1" x14ac:dyDescent="0.3">
      <c r="A77" s="25">
        <f>'Raw Data'!A69</f>
        <v>44536</v>
      </c>
      <c r="B77" s="26">
        <f>'Raw Data'!B69</f>
        <v>2</v>
      </c>
      <c r="C77" s="26" t="str">
        <f>'Raw Data'!C69</f>
        <v>Tuesday</v>
      </c>
      <c r="D77" s="26">
        <f>'Raw Data'!D69</f>
        <v>0</v>
      </c>
      <c r="E77" s="26">
        <f>'Raw Data'!E69</f>
        <v>0</v>
      </c>
      <c r="F77" s="26">
        <f>'Raw Data'!F69</f>
        <v>0</v>
      </c>
      <c r="G77" s="27">
        <f>'Raw Data'!G69</f>
        <v>2394</v>
      </c>
      <c r="H77" s="38">
        <f t="shared" si="11"/>
        <v>2503.8508651469378</v>
      </c>
      <c r="I77" s="27">
        <f t="shared" si="12"/>
        <v>-109.85086514693785</v>
      </c>
      <c r="J77" s="39">
        <f t="shared" si="13"/>
        <v>4.5885908582680802E-2</v>
      </c>
      <c r="K77" s="26" t="s">
        <v>69</v>
      </c>
      <c r="L77" s="73"/>
    </row>
    <row r="78" spans="1:12" ht="15" customHeight="1" x14ac:dyDescent="0.3">
      <c r="A78" s="40">
        <f>'Raw Data'!A70</f>
        <v>44537</v>
      </c>
      <c r="B78" s="41">
        <f>'Raw Data'!B70</f>
        <v>3</v>
      </c>
      <c r="C78" s="41" t="str">
        <f>'Raw Data'!C70</f>
        <v>Wednesday</v>
      </c>
      <c r="D78" s="41">
        <f>'Raw Data'!D70</f>
        <v>0</v>
      </c>
      <c r="E78" s="41">
        <f>'Raw Data'!E70</f>
        <v>0</v>
      </c>
      <c r="F78" s="41">
        <f>'Raw Data'!F70</f>
        <v>0</v>
      </c>
      <c r="G78" s="42">
        <f>'Raw Data'!G70</f>
        <v>2567</v>
      </c>
      <c r="H78" s="43">
        <f t="shared" si="11"/>
        <v>2503.8508651469378</v>
      </c>
      <c r="I78" s="42">
        <f t="shared" si="12"/>
        <v>63.149134853062151</v>
      </c>
      <c r="J78" s="44">
        <f t="shared" si="13"/>
        <v>2.4600364181169516E-2</v>
      </c>
      <c r="K78" s="41" t="s">
        <v>69</v>
      </c>
      <c r="L78" s="73"/>
    </row>
    <row r="79" spans="1:12" ht="15" customHeight="1" x14ac:dyDescent="0.3">
      <c r="A79" s="25">
        <f>'Raw Data'!A71</f>
        <v>44538</v>
      </c>
      <c r="B79" s="26">
        <f>'Raw Data'!B71</f>
        <v>4</v>
      </c>
      <c r="C79" s="26" t="str">
        <f>'Raw Data'!C71</f>
        <v>Thursday</v>
      </c>
      <c r="D79" s="26">
        <f>'Raw Data'!D71</f>
        <v>0</v>
      </c>
      <c r="E79" s="26">
        <f>'Raw Data'!E71</f>
        <v>0</v>
      </c>
      <c r="F79" s="26">
        <f>'Raw Data'!F71</f>
        <v>0</v>
      </c>
      <c r="G79" s="27">
        <f>'Raw Data'!G71</f>
        <v>2789</v>
      </c>
      <c r="H79" s="38">
        <f t="shared" si="11"/>
        <v>2503.8508651469378</v>
      </c>
      <c r="I79" s="27">
        <f t="shared" si="12"/>
        <v>285.14913485306215</v>
      </c>
      <c r="J79" s="39">
        <f t="shared" si="13"/>
        <v>0.10224063637614275</v>
      </c>
      <c r="K79" s="26" t="s">
        <v>69</v>
      </c>
      <c r="L79" s="73"/>
    </row>
    <row r="80" spans="1:12" ht="15" customHeight="1" x14ac:dyDescent="0.3">
      <c r="A80" s="40">
        <f>'Raw Data'!A72</f>
        <v>44539</v>
      </c>
      <c r="B80" s="41">
        <f>'Raw Data'!B72</f>
        <v>5</v>
      </c>
      <c r="C80" s="41" t="str">
        <f>'Raw Data'!C72</f>
        <v>Friday</v>
      </c>
      <c r="D80" s="41">
        <f>'Raw Data'!D72</f>
        <v>0</v>
      </c>
      <c r="E80" s="41">
        <f>'Raw Data'!E72</f>
        <v>0</v>
      </c>
      <c r="F80" s="41">
        <f>'Raw Data'!F72</f>
        <v>0</v>
      </c>
      <c r="G80" s="42">
        <f>'Raw Data'!G72</f>
        <v>2349</v>
      </c>
      <c r="H80" s="43">
        <f t="shared" si="11"/>
        <v>2503.8508651469378</v>
      </c>
      <c r="I80" s="42">
        <f t="shared" si="12"/>
        <v>-154.85086514693785</v>
      </c>
      <c r="J80" s="44">
        <f t="shared" si="13"/>
        <v>6.5922037099590394E-2</v>
      </c>
      <c r="K80" s="41" t="s">
        <v>69</v>
      </c>
      <c r="L80" s="73"/>
    </row>
    <row r="81" spans="1:12" ht="15" customHeight="1" x14ac:dyDescent="0.3">
      <c r="A81" s="25">
        <f>'Raw Data'!A73</f>
        <v>44540</v>
      </c>
      <c r="B81" s="26">
        <f>'Raw Data'!B73</f>
        <v>6</v>
      </c>
      <c r="C81" s="26" t="str">
        <f>'Raw Data'!C73</f>
        <v>Saturday</v>
      </c>
      <c r="D81" s="26">
        <f>'Raw Data'!D73</f>
        <v>0</v>
      </c>
      <c r="E81" s="26">
        <f>'Raw Data'!E73</f>
        <v>0</v>
      </c>
      <c r="F81" s="26">
        <f>'Raw Data'!F73</f>
        <v>0</v>
      </c>
      <c r="G81" s="27">
        <f>'Raw Data'!G73</f>
        <v>3199</v>
      </c>
      <c r="H81" s="38">
        <f t="shared" si="11"/>
        <v>2503.8508651469378</v>
      </c>
      <c r="I81" s="27">
        <f t="shared" si="12"/>
        <v>695.14913485306215</v>
      </c>
      <c r="J81" s="39">
        <f t="shared" si="13"/>
        <v>0.21730201152018197</v>
      </c>
      <c r="K81" s="26" t="s">
        <v>69</v>
      </c>
      <c r="L81" s="73"/>
    </row>
    <row r="82" spans="1:12" ht="15" customHeight="1" x14ac:dyDescent="0.3">
      <c r="A82" s="40">
        <f>'Raw Data'!A74</f>
        <v>44541</v>
      </c>
      <c r="B82" s="41">
        <f>'Raw Data'!B74</f>
        <v>7</v>
      </c>
      <c r="C82" s="41" t="str">
        <f>'Raw Data'!C74</f>
        <v>Sunday</v>
      </c>
      <c r="D82" s="41">
        <f>'Raw Data'!D74</f>
        <v>0</v>
      </c>
      <c r="E82" s="41">
        <f>'Raw Data'!E74</f>
        <v>1</v>
      </c>
      <c r="F82" s="41">
        <f>'Raw Data'!F74</f>
        <v>0</v>
      </c>
      <c r="G82" s="42">
        <f>'Raw Data'!G74</f>
        <v>3298</v>
      </c>
      <c r="H82" s="43">
        <f t="shared" si="11"/>
        <v>3768.9897006316942</v>
      </c>
      <c r="I82" s="42">
        <f t="shared" si="12"/>
        <v>-470.98970063169418</v>
      </c>
      <c r="J82" s="44">
        <f t="shared" si="13"/>
        <v>0.14281070364817894</v>
      </c>
      <c r="K82" s="41" t="s">
        <v>69</v>
      </c>
      <c r="L82" s="73"/>
    </row>
    <row r="83" spans="1:12" ht="15" customHeight="1" x14ac:dyDescent="0.3">
      <c r="A83" s="25">
        <f>'Raw Data'!A75</f>
        <v>44542</v>
      </c>
      <c r="B83" s="26">
        <f>'Raw Data'!B75</f>
        <v>1</v>
      </c>
      <c r="C83" s="26" t="str">
        <f>'Raw Data'!C75</f>
        <v>Monday</v>
      </c>
      <c r="D83" s="26">
        <f>'Raw Data'!D75</f>
        <v>0</v>
      </c>
      <c r="E83" s="26">
        <f>'Raw Data'!E75</f>
        <v>1</v>
      </c>
      <c r="F83" s="26">
        <f>'Raw Data'!F75</f>
        <v>0</v>
      </c>
      <c r="G83" s="27">
        <f>'Raw Data'!G75</f>
        <v>3879</v>
      </c>
      <c r="H83" s="38">
        <f t="shared" si="11"/>
        <v>3768.9897006316942</v>
      </c>
      <c r="I83" s="27">
        <f t="shared" si="12"/>
        <v>110.01029936830582</v>
      </c>
      <c r="J83" s="39">
        <f t="shared" si="13"/>
        <v>2.8360479342177319E-2</v>
      </c>
      <c r="K83" s="26" t="s">
        <v>69</v>
      </c>
      <c r="L83" s="73"/>
    </row>
    <row r="84" spans="1:12" ht="15" customHeight="1" x14ac:dyDescent="0.3">
      <c r="A84" s="40">
        <f>'Raw Data'!A76</f>
        <v>44543</v>
      </c>
      <c r="B84" s="41">
        <f>'Raw Data'!B76</f>
        <v>2</v>
      </c>
      <c r="C84" s="41" t="str">
        <f>'Raw Data'!C76</f>
        <v>Tuesday</v>
      </c>
      <c r="D84" s="41">
        <f>'Raw Data'!D76</f>
        <v>0</v>
      </c>
      <c r="E84" s="41">
        <f>'Raw Data'!E76</f>
        <v>0</v>
      </c>
      <c r="F84" s="41">
        <f>'Raw Data'!F76</f>
        <v>0</v>
      </c>
      <c r="G84" s="42">
        <f>'Raw Data'!G76</f>
        <v>2394</v>
      </c>
      <c r="H84" s="43">
        <f t="shared" si="11"/>
        <v>2503.8508651469378</v>
      </c>
      <c r="I84" s="42">
        <f t="shared" si="12"/>
        <v>-109.85086514693785</v>
      </c>
      <c r="J84" s="44">
        <f t="shared" si="13"/>
        <v>4.5885908582680802E-2</v>
      </c>
      <c r="K84" s="41" t="s">
        <v>69</v>
      </c>
      <c r="L84" s="73"/>
    </row>
    <row r="85" spans="1:12" ht="15" customHeight="1" x14ac:dyDescent="0.3">
      <c r="A85" s="25">
        <f>'Raw Data'!A77</f>
        <v>44544</v>
      </c>
      <c r="B85" s="26">
        <f>'Raw Data'!B77</f>
        <v>3</v>
      </c>
      <c r="C85" s="26" t="str">
        <f>'Raw Data'!C77</f>
        <v>Wednesday</v>
      </c>
      <c r="D85" s="26">
        <f>'Raw Data'!D77</f>
        <v>0</v>
      </c>
      <c r="E85" s="26">
        <f>'Raw Data'!E77</f>
        <v>0</v>
      </c>
      <c r="F85" s="26">
        <f>'Raw Data'!F77</f>
        <v>0</v>
      </c>
      <c r="G85" s="27" t="str">
        <f>'Raw Data'!G77</f>
        <v>—</v>
      </c>
      <c r="H85" s="38">
        <f t="shared" si="11"/>
        <v>2503.8508651469378</v>
      </c>
      <c r="I85" s="27" t="s">
        <v>15</v>
      </c>
      <c r="J85" s="39" t="s">
        <v>15</v>
      </c>
      <c r="K85" s="26" t="s">
        <v>26</v>
      </c>
      <c r="L85" s="73"/>
    </row>
    <row r="87" spans="1:12" ht="15.75" customHeight="1" x14ac:dyDescent="0.3">
      <c r="A87" s="9" t="s">
        <v>70</v>
      </c>
      <c r="B87" s="9"/>
      <c r="C87" s="9"/>
      <c r="D87" s="9"/>
      <c r="E87" s="9"/>
      <c r="F87" s="9"/>
      <c r="G87" s="9"/>
      <c r="H87" s="9"/>
      <c r="I87" s="9"/>
      <c r="J87" s="45"/>
      <c r="K87" s="46">
        <f>AVERAGE(J71:J84)</f>
        <v>9.1212551693993643E-2</v>
      </c>
      <c r="L87" s="47"/>
    </row>
    <row r="89" spans="1:12" ht="15" customHeight="1" x14ac:dyDescent="0.3">
      <c r="A89" s="8" t="s">
        <v>40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</row>
    <row r="90" spans="1:12" ht="15" customHeight="1" x14ac:dyDescent="0.3">
      <c r="A90" s="28">
        <f>'Raw Data'!A78</f>
        <v>44545</v>
      </c>
      <c r="B90" s="29">
        <f>'Raw Data'!B78</f>
        <v>4</v>
      </c>
      <c r="C90" s="29" t="str">
        <f>'Raw Data'!C78</f>
        <v>Thursday</v>
      </c>
      <c r="D90" s="29">
        <f>'Raw Data'!D78</f>
        <v>0</v>
      </c>
      <c r="E90" s="29">
        <f>'Raw Data'!E78</f>
        <v>0</v>
      </c>
      <c r="F90" s="29">
        <f>'Raw Data'!F78</f>
        <v>0</v>
      </c>
      <c r="G90" s="29" t="s">
        <v>15</v>
      </c>
      <c r="H90" s="68">
        <f t="shared" ref="H90:H101" si="14">$C$5+$C$6*D90+$C$7*E90+$C$8*F90</f>
        <v>2503.8508651469378</v>
      </c>
      <c r="I90" s="51" t="s">
        <v>15</v>
      </c>
      <c r="J90" s="51" t="s">
        <v>15</v>
      </c>
      <c r="K90" s="29" t="s">
        <v>26</v>
      </c>
    </row>
    <row r="91" spans="1:12" ht="15" customHeight="1" x14ac:dyDescent="0.3">
      <c r="A91" s="69">
        <f>'Raw Data'!A79</f>
        <v>44546</v>
      </c>
      <c r="B91" s="70">
        <f>'Raw Data'!B79</f>
        <v>5</v>
      </c>
      <c r="C91" s="70" t="str">
        <f>'Raw Data'!C79</f>
        <v>Friday</v>
      </c>
      <c r="D91" s="70">
        <f>'Raw Data'!D79</f>
        <v>0</v>
      </c>
      <c r="E91" s="70">
        <f>'Raw Data'!E79</f>
        <v>0</v>
      </c>
      <c r="F91" s="70">
        <f>'Raw Data'!F79</f>
        <v>0</v>
      </c>
      <c r="G91" s="70" t="s">
        <v>15</v>
      </c>
      <c r="H91" s="68">
        <f t="shared" si="14"/>
        <v>2503.8508651469378</v>
      </c>
      <c r="I91" s="54" t="s">
        <v>15</v>
      </c>
      <c r="J91" s="54" t="s">
        <v>15</v>
      </c>
      <c r="K91" s="70" t="s">
        <v>26</v>
      </c>
    </row>
    <row r="92" spans="1:12" ht="15" customHeight="1" x14ac:dyDescent="0.3">
      <c r="A92" s="28">
        <f>'Raw Data'!A80</f>
        <v>44547</v>
      </c>
      <c r="B92" s="29">
        <f>'Raw Data'!B80</f>
        <v>6</v>
      </c>
      <c r="C92" s="29" t="str">
        <f>'Raw Data'!C80</f>
        <v>Saturday</v>
      </c>
      <c r="D92" s="29">
        <f>'Raw Data'!D80</f>
        <v>0</v>
      </c>
      <c r="E92" s="29">
        <f>'Raw Data'!E80</f>
        <v>0</v>
      </c>
      <c r="F92" s="29">
        <f>'Raw Data'!F80</f>
        <v>0</v>
      </c>
      <c r="G92" s="29" t="s">
        <v>15</v>
      </c>
      <c r="H92" s="68">
        <f t="shared" si="14"/>
        <v>2503.8508651469378</v>
      </c>
      <c r="I92" s="51" t="s">
        <v>15</v>
      </c>
      <c r="J92" s="51" t="s">
        <v>15</v>
      </c>
      <c r="K92" s="29" t="s">
        <v>26</v>
      </c>
    </row>
    <row r="93" spans="1:12" ht="15" customHeight="1" x14ac:dyDescent="0.3">
      <c r="A93" s="69">
        <f>'Raw Data'!A81</f>
        <v>44548</v>
      </c>
      <c r="B93" s="70">
        <f>'Raw Data'!B81</f>
        <v>7</v>
      </c>
      <c r="C93" s="70" t="str">
        <f>'Raw Data'!C81</f>
        <v>Sunday</v>
      </c>
      <c r="D93" s="70">
        <f>'Raw Data'!D81</f>
        <v>1</v>
      </c>
      <c r="E93" s="70">
        <f>'Raw Data'!E81</f>
        <v>1</v>
      </c>
      <c r="F93" s="70">
        <f>'Raw Data'!F81</f>
        <v>0</v>
      </c>
      <c r="G93" s="70" t="s">
        <v>15</v>
      </c>
      <c r="H93" s="68">
        <f t="shared" si="14"/>
        <v>3355.2860477890681</v>
      </c>
      <c r="I93" s="54" t="s">
        <v>15</v>
      </c>
      <c r="J93" s="54" t="s">
        <v>15</v>
      </c>
      <c r="K93" s="70" t="s">
        <v>26</v>
      </c>
    </row>
    <row r="94" spans="1:12" ht="15" customHeight="1" x14ac:dyDescent="0.3">
      <c r="A94" s="28">
        <f>'Raw Data'!A82</f>
        <v>44549</v>
      </c>
      <c r="B94" s="29">
        <f>'Raw Data'!B82</f>
        <v>1</v>
      </c>
      <c r="C94" s="29" t="str">
        <f>'Raw Data'!C82</f>
        <v>Monday</v>
      </c>
      <c r="D94" s="29">
        <f>'Raw Data'!D82</f>
        <v>1</v>
      </c>
      <c r="E94" s="29">
        <f>'Raw Data'!E82</f>
        <v>1</v>
      </c>
      <c r="F94" s="29">
        <f>'Raw Data'!F82</f>
        <v>0</v>
      </c>
      <c r="G94" s="29" t="s">
        <v>15</v>
      </c>
      <c r="H94" s="68">
        <f t="shared" si="14"/>
        <v>3355.2860477890681</v>
      </c>
      <c r="I94" s="51" t="s">
        <v>15</v>
      </c>
      <c r="J94" s="51" t="s">
        <v>15</v>
      </c>
      <c r="K94" s="29" t="s">
        <v>26</v>
      </c>
    </row>
    <row r="95" spans="1:12" ht="15" customHeight="1" x14ac:dyDescent="0.3">
      <c r="A95" s="69">
        <f>'Raw Data'!A83</f>
        <v>44550</v>
      </c>
      <c r="B95" s="70">
        <f>'Raw Data'!B83</f>
        <v>2</v>
      </c>
      <c r="C95" s="70" t="str">
        <f>'Raw Data'!C83</f>
        <v>Tuesday</v>
      </c>
      <c r="D95" s="70">
        <f>'Raw Data'!D83</f>
        <v>1</v>
      </c>
      <c r="E95" s="70">
        <f>'Raw Data'!E83</f>
        <v>0</v>
      </c>
      <c r="F95" s="70">
        <f>'Raw Data'!F83</f>
        <v>0</v>
      </c>
      <c r="G95" s="70" t="s">
        <v>15</v>
      </c>
      <c r="H95" s="68">
        <f t="shared" si="14"/>
        <v>2090.1472123043118</v>
      </c>
      <c r="I95" s="54" t="s">
        <v>15</v>
      </c>
      <c r="J95" s="54" t="s">
        <v>15</v>
      </c>
      <c r="K95" s="70" t="s">
        <v>26</v>
      </c>
    </row>
    <row r="96" spans="1:12" ht="15" customHeight="1" x14ac:dyDescent="0.3">
      <c r="A96" s="28">
        <f>'Raw Data'!A84</f>
        <v>44551</v>
      </c>
      <c r="B96" s="29">
        <f>'Raw Data'!B84</f>
        <v>3</v>
      </c>
      <c r="C96" s="29" t="str">
        <f>'Raw Data'!C84</f>
        <v>Wednesday</v>
      </c>
      <c r="D96" s="29">
        <f>'Raw Data'!D84</f>
        <v>1</v>
      </c>
      <c r="E96" s="29">
        <f>'Raw Data'!E84</f>
        <v>0</v>
      </c>
      <c r="F96" s="29">
        <f>'Raw Data'!F84</f>
        <v>1</v>
      </c>
      <c r="G96" s="29" t="s">
        <v>15</v>
      </c>
      <c r="H96" s="68">
        <f t="shared" si="14"/>
        <v>5223.5308981049147</v>
      </c>
      <c r="I96" s="51" t="s">
        <v>15</v>
      </c>
      <c r="J96" s="51" t="s">
        <v>15</v>
      </c>
      <c r="K96" s="29" t="s">
        <v>26</v>
      </c>
    </row>
    <row r="97" spans="1:11" ht="15" customHeight="1" x14ac:dyDescent="0.3">
      <c r="A97" s="69">
        <f>'Raw Data'!A85</f>
        <v>44552</v>
      </c>
      <c r="B97" s="70">
        <f>'Raw Data'!B85</f>
        <v>4</v>
      </c>
      <c r="C97" s="70" t="str">
        <f>'Raw Data'!C85</f>
        <v>Thursday</v>
      </c>
      <c r="D97" s="70">
        <f>'Raw Data'!D85</f>
        <v>1</v>
      </c>
      <c r="E97" s="70">
        <f>'Raw Data'!E85</f>
        <v>0</v>
      </c>
      <c r="F97" s="70">
        <f>'Raw Data'!F85</f>
        <v>0</v>
      </c>
      <c r="G97" s="70" t="s">
        <v>15</v>
      </c>
      <c r="H97" s="68">
        <f t="shared" si="14"/>
        <v>2090.1472123043118</v>
      </c>
      <c r="I97" s="54" t="s">
        <v>15</v>
      </c>
      <c r="J97" s="54" t="s">
        <v>15</v>
      </c>
      <c r="K97" s="70" t="s">
        <v>26</v>
      </c>
    </row>
    <row r="98" spans="1:11" ht="15" customHeight="1" x14ac:dyDescent="0.3">
      <c r="A98" s="28">
        <f>'Raw Data'!A86</f>
        <v>44553</v>
      </c>
      <c r="B98" s="29">
        <f>'Raw Data'!B86</f>
        <v>5</v>
      </c>
      <c r="C98" s="29" t="str">
        <f>'Raw Data'!C86</f>
        <v>Friday</v>
      </c>
      <c r="D98" s="29">
        <f>'Raw Data'!D86</f>
        <v>1</v>
      </c>
      <c r="E98" s="29">
        <f>'Raw Data'!E86</f>
        <v>0</v>
      </c>
      <c r="F98" s="29">
        <f>'Raw Data'!F86</f>
        <v>0</v>
      </c>
      <c r="G98" s="29" t="s">
        <v>15</v>
      </c>
      <c r="H98" s="68">
        <f t="shared" si="14"/>
        <v>2090.1472123043118</v>
      </c>
      <c r="I98" s="51" t="s">
        <v>15</v>
      </c>
      <c r="J98" s="51" t="s">
        <v>15</v>
      </c>
      <c r="K98" s="29" t="s">
        <v>26</v>
      </c>
    </row>
    <row r="99" spans="1:11" ht="15" customHeight="1" x14ac:dyDescent="0.3">
      <c r="A99" s="69">
        <f>'Raw Data'!A87</f>
        <v>44554</v>
      </c>
      <c r="B99" s="70">
        <f>'Raw Data'!B87</f>
        <v>6</v>
      </c>
      <c r="C99" s="70" t="str">
        <f>'Raw Data'!C87</f>
        <v>Saturday</v>
      </c>
      <c r="D99" s="70">
        <f>'Raw Data'!D87</f>
        <v>1</v>
      </c>
      <c r="E99" s="70">
        <f>'Raw Data'!E87</f>
        <v>0</v>
      </c>
      <c r="F99" s="70">
        <f>'Raw Data'!F87</f>
        <v>0</v>
      </c>
      <c r="G99" s="70" t="s">
        <v>15</v>
      </c>
      <c r="H99" s="68">
        <f t="shared" si="14"/>
        <v>2090.1472123043118</v>
      </c>
      <c r="I99" s="54" t="s">
        <v>15</v>
      </c>
      <c r="J99" s="54" t="s">
        <v>15</v>
      </c>
      <c r="K99" s="70" t="s">
        <v>26</v>
      </c>
    </row>
    <row r="100" spans="1:11" ht="15" customHeight="1" x14ac:dyDescent="0.3">
      <c r="A100" s="28">
        <f>'Raw Data'!A88</f>
        <v>44555</v>
      </c>
      <c r="B100" s="29">
        <f>'Raw Data'!B88</f>
        <v>7</v>
      </c>
      <c r="C100" s="29" t="str">
        <f>'Raw Data'!C88</f>
        <v>Sunday</v>
      </c>
      <c r="D100" s="29">
        <f>'Raw Data'!D88</f>
        <v>1</v>
      </c>
      <c r="E100" s="29">
        <f>'Raw Data'!E88</f>
        <v>1</v>
      </c>
      <c r="F100" s="29">
        <f>'Raw Data'!F88</f>
        <v>0</v>
      </c>
      <c r="G100" s="29" t="s">
        <v>15</v>
      </c>
      <c r="H100" s="68">
        <f t="shared" si="14"/>
        <v>3355.2860477890681</v>
      </c>
      <c r="I100" s="51" t="s">
        <v>15</v>
      </c>
      <c r="J100" s="51" t="s">
        <v>15</v>
      </c>
      <c r="K100" s="29" t="s">
        <v>26</v>
      </c>
    </row>
    <row r="101" spans="1:11" ht="15" customHeight="1" x14ac:dyDescent="0.3">
      <c r="A101" s="69">
        <f>'Raw Data'!A89</f>
        <v>0</v>
      </c>
      <c r="B101" s="70">
        <f>'Raw Data'!B89</f>
        <v>0</v>
      </c>
      <c r="C101" s="70">
        <f>'Raw Data'!C89</f>
        <v>0</v>
      </c>
      <c r="D101" s="70">
        <f>'Raw Data'!D89</f>
        <v>0</v>
      </c>
      <c r="E101" s="70">
        <f>'Raw Data'!E89</f>
        <v>0</v>
      </c>
      <c r="F101" s="70">
        <f>'Raw Data'!F89</f>
        <v>0</v>
      </c>
      <c r="G101" s="70" t="s">
        <v>15</v>
      </c>
      <c r="H101" s="68">
        <f t="shared" si="14"/>
        <v>2503.8508651469378</v>
      </c>
      <c r="I101" s="54" t="s">
        <v>15</v>
      </c>
      <c r="J101" s="54" t="s">
        <v>15</v>
      </c>
      <c r="K101" s="70" t="s">
        <v>26</v>
      </c>
    </row>
  </sheetData>
  <mergeCells count="7">
    <mergeCell ref="A87:I87"/>
    <mergeCell ref="A89:L89"/>
    <mergeCell ref="A1:L1"/>
    <mergeCell ref="A2:L2"/>
    <mergeCell ref="A3:L3"/>
    <mergeCell ref="A10:L10"/>
    <mergeCell ref="A70:L7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2"/>
  <sheetViews>
    <sheetView showGridLines="0" topLeftCell="A14" zoomScaleNormal="100" workbookViewId="0">
      <selection activeCell="D22" sqref="D22"/>
    </sheetView>
  </sheetViews>
  <sheetFormatPr defaultColWidth="8.6640625" defaultRowHeight="14.4" x14ac:dyDescent="0.3"/>
  <cols>
    <col min="1" max="1" width="28" customWidth="1"/>
    <col min="2" max="2" width="20" customWidth="1"/>
    <col min="3" max="4" width="18" customWidth="1"/>
    <col min="5" max="7" width="20" customWidth="1"/>
    <col min="8" max="8" width="28" customWidth="1"/>
  </cols>
  <sheetData>
    <row r="1" spans="1:8" ht="25.5" customHeight="1" x14ac:dyDescent="0.3">
      <c r="A1" s="14" t="s">
        <v>71</v>
      </c>
      <c r="B1" s="14"/>
      <c r="C1" s="14"/>
      <c r="D1" s="14"/>
      <c r="E1" s="14"/>
      <c r="F1" s="14"/>
      <c r="G1" s="14"/>
      <c r="H1" s="14"/>
    </row>
    <row r="2" spans="1:8" ht="15" customHeight="1" x14ac:dyDescent="0.3">
      <c r="A2" s="4"/>
      <c r="B2" s="4"/>
      <c r="C2" s="4"/>
      <c r="D2" s="4"/>
      <c r="E2" s="4"/>
      <c r="F2" s="4"/>
      <c r="G2" s="4"/>
      <c r="H2" s="4"/>
    </row>
    <row r="4" spans="1:8" ht="25.5" customHeight="1" x14ac:dyDescent="0.3">
      <c r="A4" s="3" t="s">
        <v>72</v>
      </c>
      <c r="B4" s="3"/>
      <c r="C4" s="3"/>
      <c r="D4" s="3"/>
      <c r="E4" s="3"/>
      <c r="F4" s="3"/>
      <c r="G4" s="3"/>
      <c r="H4" s="3"/>
    </row>
    <row r="5" spans="1:8" ht="27.75" customHeight="1" x14ac:dyDescent="0.3">
      <c r="A5" s="15" t="s">
        <v>73</v>
      </c>
      <c r="B5" s="15" t="s">
        <v>74</v>
      </c>
      <c r="C5" s="15" t="s">
        <v>75</v>
      </c>
      <c r="D5" s="15" t="s">
        <v>76</v>
      </c>
      <c r="E5" s="15" t="s">
        <v>77</v>
      </c>
      <c r="F5" s="15" t="s">
        <v>78</v>
      </c>
      <c r="G5" s="15" t="s">
        <v>79</v>
      </c>
      <c r="H5" s="15" t="s">
        <v>80</v>
      </c>
    </row>
    <row r="6" spans="1:8" ht="15" customHeight="1" x14ac:dyDescent="0.3">
      <c r="A6" s="74" t="s">
        <v>81</v>
      </c>
      <c r="B6" s="75" t="s">
        <v>82</v>
      </c>
      <c r="C6" s="76">
        <f>COUNT('Raw Data'!G3:G61)</f>
        <v>59</v>
      </c>
      <c r="D6" s="76">
        <f>COUNTIF('Raw Data'!E4:E62,0)</f>
        <v>41</v>
      </c>
      <c r="E6" s="76">
        <f>COUNTIF('Raw Data'!E4:E62,1)</f>
        <v>18</v>
      </c>
      <c r="F6" s="76">
        <f>COUNTIF('Raw Data'!D3:D61,1)</f>
        <v>14</v>
      </c>
      <c r="G6" s="76">
        <f>COUNTIF('Raw Data'!F4:F61,1)</f>
        <v>3</v>
      </c>
      <c r="H6" s="76">
        <f>COUNTIF('Raw Data'!F4:F61,0)</f>
        <v>55</v>
      </c>
    </row>
    <row r="7" spans="1:8" ht="15" customHeight="1" x14ac:dyDescent="0.3">
      <c r="A7" s="77" t="s">
        <v>83</v>
      </c>
      <c r="B7" s="78" t="s">
        <v>84</v>
      </c>
      <c r="C7" s="36">
        <f>AVERAGE('Raw Data'!G3:G61)</f>
        <v>2950.9830508474574</v>
      </c>
      <c r="D7" s="36">
        <f>AVERAGEIF('Raw Data'!E4:E62,0,'Raw Data'!G3:G61)</f>
        <v>2907.9024390243903</v>
      </c>
      <c r="E7" s="36">
        <f>AVERAGEIF('Raw Data'!E4:E62,1,'Raw Data'!G3:G61)</f>
        <v>3049.1111111111113</v>
      </c>
      <c r="F7" s="36">
        <f>AVERAGEIF('Raw Data'!D3:D61,1,'Raw Data'!G3:G61)</f>
        <v>2675.4285714285716</v>
      </c>
      <c r="G7" s="36">
        <f>AVERAGEIF('Raw Data'!F4:F61,1,'Raw Data'!G3:G61)</f>
        <v>2600.3333333333335</v>
      </c>
      <c r="H7" s="36">
        <f>AVERAGEIF('Raw Data'!F4:F61,0,'Raw Data'!G3:G61)</f>
        <v>2970.4363636363637</v>
      </c>
    </row>
    <row r="8" spans="1:8" ht="15" customHeight="1" x14ac:dyDescent="0.3">
      <c r="A8" s="74" t="s">
        <v>85</v>
      </c>
      <c r="B8" s="75" t="s">
        <v>86</v>
      </c>
      <c r="C8" s="76">
        <f>MIN('Raw Data'!G3:G61)</f>
        <v>1748</v>
      </c>
      <c r="D8" s="76" t="s">
        <v>15</v>
      </c>
      <c r="E8" s="76" t="s">
        <v>15</v>
      </c>
      <c r="F8" s="76" t="s">
        <v>15</v>
      </c>
      <c r="G8" s="76" t="s">
        <v>15</v>
      </c>
      <c r="H8" s="76" t="s">
        <v>15</v>
      </c>
    </row>
    <row r="9" spans="1:8" ht="15" customHeight="1" x14ac:dyDescent="0.3">
      <c r="A9" s="77" t="s">
        <v>87</v>
      </c>
      <c r="B9" s="78" t="s">
        <v>88</v>
      </c>
      <c r="C9" s="36">
        <f>MAX('Raw Data'!G3:G61)</f>
        <v>6592</v>
      </c>
      <c r="D9" s="36" t="s">
        <v>15</v>
      </c>
      <c r="E9" s="36" t="s">
        <v>15</v>
      </c>
      <c r="F9" s="36" t="s">
        <v>15</v>
      </c>
      <c r="G9" s="36" t="s">
        <v>15</v>
      </c>
      <c r="H9" s="36" t="s">
        <v>15</v>
      </c>
    </row>
    <row r="10" spans="1:8" ht="15" customHeight="1" x14ac:dyDescent="0.3">
      <c r="A10" s="74" t="s">
        <v>89</v>
      </c>
      <c r="B10" s="75" t="s">
        <v>90</v>
      </c>
      <c r="C10" s="76">
        <f>MAX('Raw Data'!G3:G61)-MIN('Raw Data'!G3:G61)</f>
        <v>4844</v>
      </c>
      <c r="D10" s="76" t="s">
        <v>15</v>
      </c>
      <c r="E10" s="76" t="s">
        <v>15</v>
      </c>
      <c r="F10" s="76" t="s">
        <v>15</v>
      </c>
      <c r="G10" s="76" t="s">
        <v>15</v>
      </c>
      <c r="H10" s="76" t="s">
        <v>15</v>
      </c>
    </row>
    <row r="11" spans="1:8" ht="15" customHeight="1" x14ac:dyDescent="0.3">
      <c r="A11" s="77" t="s">
        <v>91</v>
      </c>
      <c r="B11" s="78" t="s">
        <v>92</v>
      </c>
      <c r="C11" s="36">
        <f>MEDIAN('Raw Data'!G3:G61)</f>
        <v>2656</v>
      </c>
      <c r="D11" s="36" t="s">
        <v>15</v>
      </c>
      <c r="E11" s="36" t="s">
        <v>15</v>
      </c>
      <c r="F11" s="36" t="s">
        <v>15</v>
      </c>
      <c r="G11" s="36" t="s">
        <v>15</v>
      </c>
      <c r="H11" s="36" t="s">
        <v>15</v>
      </c>
    </row>
    <row r="12" spans="1:8" ht="15" customHeight="1" x14ac:dyDescent="0.3">
      <c r="A12" s="74" t="s">
        <v>93</v>
      </c>
      <c r="B12" s="75" t="s">
        <v>94</v>
      </c>
      <c r="C12" s="76">
        <f>QUARTILE('Raw Data'!G3:G61,1)</f>
        <v>2190.5</v>
      </c>
      <c r="D12" s="76" t="s">
        <v>15</v>
      </c>
      <c r="E12" s="76" t="s">
        <v>15</v>
      </c>
      <c r="F12" s="76" t="s">
        <v>15</v>
      </c>
      <c r="G12" s="76" t="s">
        <v>15</v>
      </c>
      <c r="H12" s="76" t="s">
        <v>15</v>
      </c>
    </row>
    <row r="13" spans="1:8" ht="15" customHeight="1" x14ac:dyDescent="0.3">
      <c r="A13" s="77" t="s">
        <v>95</v>
      </c>
      <c r="B13" s="78" t="s">
        <v>94</v>
      </c>
      <c r="C13" s="36">
        <f>QUARTILE('Raw Data'!G3:G61,3)</f>
        <v>3093.5</v>
      </c>
      <c r="D13" s="36" t="s">
        <v>15</v>
      </c>
      <c r="E13" s="36" t="s">
        <v>15</v>
      </c>
      <c r="F13" s="36" t="s">
        <v>15</v>
      </c>
      <c r="G13" s="36" t="s">
        <v>15</v>
      </c>
      <c r="H13" s="36" t="s">
        <v>15</v>
      </c>
    </row>
    <row r="14" spans="1:8" ht="15" customHeight="1" x14ac:dyDescent="0.3">
      <c r="A14" s="74" t="s">
        <v>96</v>
      </c>
      <c r="B14" s="75" t="s">
        <v>97</v>
      </c>
      <c r="C14" s="76">
        <f>QUARTILE('Raw Data'!G3:G61,3)-QUARTILE('Raw Data'!G3:G61,1)</f>
        <v>903</v>
      </c>
      <c r="D14" s="76" t="s">
        <v>15</v>
      </c>
      <c r="E14" s="76" t="s">
        <v>15</v>
      </c>
      <c r="F14" s="76" t="s">
        <v>15</v>
      </c>
      <c r="G14" s="76" t="s">
        <v>15</v>
      </c>
      <c r="H14" s="76" t="s">
        <v>15</v>
      </c>
    </row>
    <row r="15" spans="1:8" ht="15" customHeight="1" x14ac:dyDescent="0.3">
      <c r="A15" s="77" t="s">
        <v>98</v>
      </c>
      <c r="B15" s="78" t="s">
        <v>99</v>
      </c>
      <c r="C15" s="36">
        <f>STDEV('Raw Data'!G3:G61)</f>
        <v>1060.8786938929675</v>
      </c>
      <c r="D15" s="36" t="s">
        <v>15</v>
      </c>
      <c r="E15" s="36" t="s">
        <v>15</v>
      </c>
      <c r="F15" s="36" t="s">
        <v>15</v>
      </c>
      <c r="G15" s="36" t="s">
        <v>15</v>
      </c>
      <c r="H15" s="36" t="s">
        <v>15</v>
      </c>
    </row>
    <row r="16" spans="1:8" ht="15" customHeight="1" x14ac:dyDescent="0.3">
      <c r="A16" s="74" t="s">
        <v>100</v>
      </c>
      <c r="B16" s="75" t="s">
        <v>101</v>
      </c>
      <c r="C16" s="76">
        <f>VAR('Raw Data'!G3:G61)</f>
        <v>1125463.6031560486</v>
      </c>
      <c r="D16" s="76" t="s">
        <v>15</v>
      </c>
      <c r="E16" s="76" t="s">
        <v>15</v>
      </c>
      <c r="F16" s="76" t="s">
        <v>15</v>
      </c>
      <c r="G16" s="76" t="s">
        <v>15</v>
      </c>
      <c r="H16" s="76" t="s">
        <v>15</v>
      </c>
    </row>
    <row r="17" spans="1:8" ht="15" customHeight="1" x14ac:dyDescent="0.3">
      <c r="A17" s="77" t="s">
        <v>102</v>
      </c>
      <c r="B17" s="78" t="s">
        <v>103</v>
      </c>
      <c r="C17" s="37">
        <f>STDEV('Raw Data'!G3:G61)/AVERAGE('Raw Data'!G3:G61)</f>
        <v>0.35950009729412252</v>
      </c>
      <c r="D17" s="36" t="s">
        <v>15</v>
      </c>
      <c r="E17" s="36" t="s">
        <v>15</v>
      </c>
      <c r="F17" s="36" t="s">
        <v>15</v>
      </c>
      <c r="G17" s="36" t="s">
        <v>15</v>
      </c>
      <c r="H17" s="36" t="s">
        <v>15</v>
      </c>
    </row>
    <row r="19" spans="1:8" ht="25.5" customHeight="1" x14ac:dyDescent="0.3">
      <c r="A19" s="3" t="s">
        <v>104</v>
      </c>
      <c r="B19" s="3"/>
      <c r="C19" s="3"/>
      <c r="D19" s="3"/>
      <c r="E19" s="3"/>
      <c r="F19" s="3"/>
      <c r="G19" s="3"/>
      <c r="H19" s="3"/>
    </row>
    <row r="20" spans="1:8" ht="27.75" customHeight="1" x14ac:dyDescent="0.3">
      <c r="A20" s="15" t="s">
        <v>105</v>
      </c>
      <c r="B20" s="15" t="s">
        <v>106</v>
      </c>
      <c r="C20" s="15" t="s">
        <v>107</v>
      </c>
      <c r="D20" s="15" t="s">
        <v>108</v>
      </c>
      <c r="E20" s="15" t="s">
        <v>109</v>
      </c>
      <c r="F20" s="15" t="s">
        <v>110</v>
      </c>
      <c r="G20" s="15" t="s">
        <v>111</v>
      </c>
      <c r="H20" s="15" t="s">
        <v>112</v>
      </c>
    </row>
    <row r="21" spans="1:8" ht="15" customHeight="1" x14ac:dyDescent="0.3">
      <c r="A21" s="17" t="s">
        <v>113</v>
      </c>
      <c r="B21" s="17" t="s">
        <v>114</v>
      </c>
      <c r="C21" s="17" t="s">
        <v>115</v>
      </c>
      <c r="D21" s="79">
        <f>AVERAGE('Model 1 - Global Average'!J66:J79)</f>
        <v>0.17945199463734438</v>
      </c>
      <c r="E21" s="80">
        <f>IF(ISNUMBER(D21),RANK(D21,D21:D23,1),"—")</f>
        <v>3</v>
      </c>
      <c r="F21" s="81" t="s">
        <v>116</v>
      </c>
      <c r="G21" s="81" t="s">
        <v>15</v>
      </c>
      <c r="H21" s="17" t="str">
        <f>IF(ISNUMBER(D21),IF(D21&lt;0.2,"Acceptable baseline","Poor"),"Pending")</f>
        <v>Acceptable baseline</v>
      </c>
    </row>
    <row r="22" spans="1:8" ht="15" customHeight="1" x14ac:dyDescent="0.3">
      <c r="A22" s="20" t="s">
        <v>117</v>
      </c>
      <c r="B22" s="20" t="s">
        <v>118</v>
      </c>
      <c r="C22" s="20" t="s">
        <v>119</v>
      </c>
      <c r="D22" s="79">
        <f>AVERAGE('Model 2 - Day of Week Avg'!M68:M81)</f>
        <v>0.12425565647958044</v>
      </c>
      <c r="E22" s="82">
        <f>IF(ISNUMBER(D22),RANK(D22,D21:D23,1),"—")</f>
        <v>2</v>
      </c>
      <c r="F22" s="20" t="str">
        <f>IF(ISNUMBER(D21)*ISNUMBER(D22),IF(D22&lt;D21,"✓ Better","✗ Worse"),"—")</f>
        <v>✓ Better</v>
      </c>
      <c r="G22" s="20" t="str">
        <f>IF(ISNUMBER(D21)*ISNUMBER(D22),TEXT(ABS(D21-D22),"0.00%")&amp;" reduction","—")</f>
        <v>5.52% reduction</v>
      </c>
      <c r="H22" s="20" t="str">
        <f>IF(ISNUMBER(D22),IF(D22&lt;0.15,"Good","Review"),"Pending")</f>
        <v>Good</v>
      </c>
    </row>
    <row r="23" spans="1:8" ht="15" customHeight="1" x14ac:dyDescent="0.3">
      <c r="A23" s="17" t="s">
        <v>120</v>
      </c>
      <c r="B23" s="17" t="s">
        <v>121</v>
      </c>
      <c r="C23" s="17" t="s">
        <v>122</v>
      </c>
      <c r="D23" s="79">
        <f>AVERAGE('Model 3 - Linear Regression'!J71:J84)</f>
        <v>9.1212551693993643E-2</v>
      </c>
      <c r="E23" s="80">
        <f>IF(ISNUMBER(D23),RANK(D23,D21:D23,1),"—")</f>
        <v>1</v>
      </c>
      <c r="F23" s="17" t="str">
        <f>IF(ISNUMBER(D21)*ISNUMBER(D23),IF(D23&lt;D21,"✓ Better","✗ Worse"),"—")</f>
        <v>✓ Better</v>
      </c>
      <c r="G23" s="17" t="str">
        <f>IF(ISNUMBER(D21)*ISNUMBER(D23),TEXT(ABS(D21-D23),"0.00%")&amp;" reduction","—")</f>
        <v>8.82% reduction</v>
      </c>
      <c r="H23" s="17" t="str">
        <f>IF(ISNUMBER(D23),IF(D23&lt;0.12,"✦ Best","Acceptable"),"Pending")</f>
        <v>✦ Best</v>
      </c>
    </row>
    <row r="25" spans="1:8" ht="25.5" customHeight="1" x14ac:dyDescent="0.3">
      <c r="A25" s="2" t="str">
        <f>IF(ISNUMBER(D21)*ISNUMBER(D22)*ISNUMBER(D23),"✦ Best Model: "&amp;IF(MIN(D21,D22,D23)=D21,"Model 1 (Global Avg) — MAPE="&amp;TEXT(D21,"0.00%"),IF(MIN(D21,D22,D23)=D22,"Model 2 (Day-of-Week) — MAPE="&amp;TEXT(D22,"0.00%"),"Model 3 (Linear Regression) — MAPE="&amp;TEXT(D23,"0.00%"))),"Calculating...")</f>
        <v>✦ Best Model: Model 3 (Linear Regression) — MAPE=9.12%</v>
      </c>
      <c r="B25" s="2"/>
      <c r="C25" s="2"/>
      <c r="D25" s="2"/>
      <c r="E25" s="2"/>
      <c r="F25" s="2"/>
      <c r="G25" s="2"/>
      <c r="H25" s="2"/>
    </row>
    <row r="27" spans="1:8" ht="25.5" customHeight="1" x14ac:dyDescent="0.3">
      <c r="A27" s="3" t="s">
        <v>123</v>
      </c>
      <c r="B27" s="3"/>
      <c r="C27" s="3"/>
      <c r="D27" s="3"/>
      <c r="E27" s="3"/>
      <c r="F27" s="3"/>
      <c r="G27" s="3"/>
      <c r="H27" s="3"/>
    </row>
    <row r="28" spans="1:8" ht="27.75" customHeight="1" x14ac:dyDescent="0.3">
      <c r="A28" s="15" t="s">
        <v>124</v>
      </c>
      <c r="B28" s="15" t="s">
        <v>125</v>
      </c>
      <c r="C28" s="1" t="s">
        <v>126</v>
      </c>
      <c r="D28" s="1"/>
      <c r="E28" s="1"/>
      <c r="F28" s="1"/>
      <c r="G28" s="89"/>
      <c r="H28" s="89"/>
    </row>
    <row r="29" spans="1:8" ht="60" customHeight="1" x14ac:dyDescent="0.3">
      <c r="A29" s="83" t="s">
        <v>127</v>
      </c>
      <c r="B29" s="84" t="s">
        <v>128</v>
      </c>
      <c r="C29" s="90" t="s">
        <v>129</v>
      </c>
      <c r="D29" s="90"/>
      <c r="E29" s="90"/>
      <c r="F29" s="90"/>
      <c r="G29" s="90" t="s">
        <v>130</v>
      </c>
      <c r="H29" s="90"/>
    </row>
    <row r="30" spans="1:8" ht="60" customHeight="1" x14ac:dyDescent="0.3">
      <c r="A30" s="85" t="s">
        <v>131</v>
      </c>
      <c r="B30" s="86" t="s">
        <v>132</v>
      </c>
      <c r="C30" s="91" t="s">
        <v>133</v>
      </c>
      <c r="D30" s="91"/>
      <c r="E30" s="91"/>
      <c r="F30" s="91"/>
      <c r="G30" s="91" t="s">
        <v>134</v>
      </c>
      <c r="H30" s="91"/>
    </row>
    <row r="31" spans="1:8" ht="60" customHeight="1" x14ac:dyDescent="0.3">
      <c r="A31" s="83" t="s">
        <v>135</v>
      </c>
      <c r="B31" s="84" t="s">
        <v>136</v>
      </c>
      <c r="C31" s="90" t="s">
        <v>137</v>
      </c>
      <c r="D31" s="90"/>
      <c r="E31" s="90"/>
      <c r="F31" s="90"/>
      <c r="G31" s="90" t="s">
        <v>138</v>
      </c>
      <c r="H31" s="90"/>
    </row>
    <row r="32" spans="1:8" ht="60" customHeight="1" x14ac:dyDescent="0.3">
      <c r="A32" s="85" t="s">
        <v>139</v>
      </c>
      <c r="B32" s="86" t="s">
        <v>140</v>
      </c>
      <c r="C32" s="91" t="s">
        <v>141</v>
      </c>
      <c r="D32" s="91"/>
      <c r="E32" s="91"/>
      <c r="F32" s="91"/>
      <c r="G32" s="91" t="s">
        <v>142</v>
      </c>
      <c r="H32" s="91"/>
    </row>
    <row r="33" spans="1:8" ht="60" customHeight="1" x14ac:dyDescent="0.3">
      <c r="A33" s="83" t="s">
        <v>143</v>
      </c>
      <c r="B33" s="84" t="s">
        <v>144</v>
      </c>
      <c r="C33" s="90" t="s">
        <v>145</v>
      </c>
      <c r="D33" s="90"/>
      <c r="E33" s="90"/>
      <c r="F33" s="90"/>
      <c r="G33" s="90" t="s">
        <v>146</v>
      </c>
      <c r="H33" s="90"/>
    </row>
    <row r="35" spans="1:8" ht="25.5" customHeight="1" x14ac:dyDescent="0.3">
      <c r="A35" s="3" t="s">
        <v>166</v>
      </c>
      <c r="B35" s="3"/>
      <c r="C35" s="3"/>
      <c r="D35" s="3"/>
      <c r="E35" s="3"/>
      <c r="F35" s="3"/>
      <c r="G35" s="3"/>
      <c r="H35" s="3"/>
    </row>
    <row r="36" spans="1:8" ht="27.75" customHeight="1" x14ac:dyDescent="0.3">
      <c r="A36" s="55" t="s">
        <v>147</v>
      </c>
      <c r="B36" s="92" t="s">
        <v>148</v>
      </c>
      <c r="C36" s="92"/>
      <c r="D36" s="92"/>
      <c r="E36" s="92"/>
      <c r="F36" s="92"/>
      <c r="G36" s="89"/>
      <c r="H36" s="89"/>
    </row>
    <row r="37" spans="1:8" ht="19.5" customHeight="1" x14ac:dyDescent="0.3">
      <c r="A37" s="87" t="s">
        <v>149</v>
      </c>
      <c r="B37" s="93" t="s">
        <v>150</v>
      </c>
      <c r="C37" s="93"/>
      <c r="D37" s="93"/>
      <c r="E37" s="93"/>
      <c r="F37" s="93"/>
      <c r="G37" s="94"/>
      <c r="H37" s="94"/>
    </row>
    <row r="38" spans="1:8" ht="19.5" customHeight="1" x14ac:dyDescent="0.3">
      <c r="A38" s="88" t="s">
        <v>151</v>
      </c>
      <c r="B38" s="95" t="s">
        <v>152</v>
      </c>
      <c r="C38" s="95"/>
      <c r="D38" s="95"/>
      <c r="E38" s="95"/>
      <c r="F38" s="95"/>
      <c r="G38" s="96" t="s">
        <v>153</v>
      </c>
      <c r="H38" s="96"/>
    </row>
    <row r="39" spans="1:8" ht="19.5" customHeight="1" x14ac:dyDescent="0.3">
      <c r="A39" s="87" t="s">
        <v>154</v>
      </c>
      <c r="B39" s="94" t="s">
        <v>155</v>
      </c>
      <c r="C39" s="94"/>
      <c r="D39" s="94"/>
      <c r="E39" s="94"/>
      <c r="F39" s="94"/>
      <c r="G39" s="94" t="s">
        <v>156</v>
      </c>
      <c r="H39" s="94"/>
    </row>
    <row r="40" spans="1:8" ht="19.5" customHeight="1" x14ac:dyDescent="0.3">
      <c r="A40" s="88" t="s">
        <v>157</v>
      </c>
      <c r="B40" s="96" t="s">
        <v>158</v>
      </c>
      <c r="C40" s="96"/>
      <c r="D40" s="96"/>
      <c r="E40" s="96"/>
      <c r="F40" s="96"/>
      <c r="G40" s="96" t="s">
        <v>159</v>
      </c>
      <c r="H40" s="96"/>
    </row>
    <row r="41" spans="1:8" ht="19.5" customHeight="1" x14ac:dyDescent="0.3">
      <c r="A41" s="87" t="s">
        <v>160</v>
      </c>
      <c r="B41" s="94" t="s">
        <v>161</v>
      </c>
      <c r="C41" s="94"/>
      <c r="D41" s="94"/>
      <c r="E41" s="94"/>
      <c r="F41" s="94"/>
      <c r="G41" s="94" t="s">
        <v>162</v>
      </c>
      <c r="H41" s="94"/>
    </row>
    <row r="42" spans="1:8" ht="19.5" customHeight="1" x14ac:dyDescent="0.3">
      <c r="A42" s="88" t="s">
        <v>163</v>
      </c>
      <c r="B42" s="96" t="s">
        <v>164</v>
      </c>
      <c r="C42" s="96"/>
      <c r="D42" s="96"/>
      <c r="E42" s="96"/>
      <c r="F42" s="96"/>
      <c r="G42" s="96" t="s">
        <v>165</v>
      </c>
      <c r="H42" s="96"/>
    </row>
  </sheetData>
  <mergeCells count="33">
    <mergeCell ref="B40:F40"/>
    <mergeCell ref="G40:H40"/>
    <mergeCell ref="B41:F41"/>
    <mergeCell ref="G41:H41"/>
    <mergeCell ref="B42:F42"/>
    <mergeCell ref="G42:H42"/>
    <mergeCell ref="B37:F37"/>
    <mergeCell ref="G37:H37"/>
    <mergeCell ref="B38:F38"/>
    <mergeCell ref="G38:H38"/>
    <mergeCell ref="B39:F39"/>
    <mergeCell ref="G39:H39"/>
    <mergeCell ref="C33:F33"/>
    <mergeCell ref="G33:H33"/>
    <mergeCell ref="A35:H35"/>
    <mergeCell ref="B36:F36"/>
    <mergeCell ref="G36:H36"/>
    <mergeCell ref="C30:F30"/>
    <mergeCell ref="G30:H30"/>
    <mergeCell ref="C31:F31"/>
    <mergeCell ref="G31:H31"/>
    <mergeCell ref="C32:F32"/>
    <mergeCell ref="G32:H32"/>
    <mergeCell ref="A27:H27"/>
    <mergeCell ref="C28:F28"/>
    <mergeCell ref="G28:H28"/>
    <mergeCell ref="C29:F29"/>
    <mergeCell ref="G29:H29"/>
    <mergeCell ref="A1:H1"/>
    <mergeCell ref="A2:H2"/>
    <mergeCell ref="A4:H4"/>
    <mergeCell ref="A19:H19"/>
    <mergeCell ref="A25:H2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Model 1 - Global Average</vt:lpstr>
      <vt:lpstr>Model 2 - Day of Week Avg</vt:lpstr>
      <vt:lpstr>Model 3 - Linear Regression</vt:lpstr>
      <vt:lpstr>Analysis &amp;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NALLA VIGNESHWARI</cp:lastModifiedBy>
  <cp:revision>0</cp:revision>
  <dcterms:created xsi:type="dcterms:W3CDTF">2026-04-14T17:02:09Z</dcterms:created>
  <dcterms:modified xsi:type="dcterms:W3CDTF">2026-04-15T18:22:53Z</dcterms:modified>
  <dc:language>en-US</dc:language>
</cp:coreProperties>
</file>